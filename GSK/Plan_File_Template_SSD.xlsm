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drive.gsk.com/personal/varun_x_mitra_gsk_com/Documents/Desktop/"/>
    </mc:Choice>
  </mc:AlternateContent>
  <xr:revisionPtr revIDLastSave="318" documentId="8_{A791DEE8-2A39-437D-8B83-45F2E983ADFC}" xr6:coauthVersionLast="47" xr6:coauthVersionMax="47" xr10:uidLastSave="{CF048315-89A0-499B-A687-FCD0108A5631}"/>
  <bookViews>
    <workbookView xWindow="-108" yWindow="-108" windowWidth="19416" windowHeight="10416" xr2:uid="{854C70CD-7249-4B7F-B57D-5CD69C61E71E}"/>
  </bookViews>
  <sheets>
    <sheet name="Planning_Templat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34" i="1" l="1"/>
  <c r="AX34" i="1"/>
  <c r="AP34" i="1"/>
  <c r="AL34" i="1"/>
  <c r="AM34" i="1" s="1"/>
  <c r="AH34" i="1"/>
  <c r="AI34" i="1" s="1"/>
  <c r="AF34" i="1"/>
  <c r="AC34" i="1"/>
  <c r="AB34" i="1"/>
  <c r="Z34" i="1"/>
  <c r="W34" i="1"/>
  <c r="S34" i="1"/>
  <c r="T34" i="1" s="1"/>
  <c r="Q34" i="1"/>
  <c r="N34" i="1"/>
  <c r="M34" i="1"/>
  <c r="AY33" i="1"/>
  <c r="AX33" i="1"/>
  <c r="AP33" i="1"/>
  <c r="AL33" i="1"/>
  <c r="AM33" i="1" s="1"/>
  <c r="AI33" i="1"/>
  <c r="AH33" i="1"/>
  <c r="AF33" i="1"/>
  <c r="AC33" i="1"/>
  <c r="AB33" i="1"/>
  <c r="Z33" i="1"/>
  <c r="W33" i="1"/>
  <c r="S33" i="1"/>
  <c r="T33" i="1" s="1"/>
  <c r="Q33" i="1"/>
  <c r="N33" i="1"/>
  <c r="M33" i="1"/>
  <c r="AX32" i="1"/>
  <c r="AY32" i="1" s="1"/>
  <c r="AP32" i="1"/>
  <c r="AL32" i="1"/>
  <c r="AM32" i="1" s="1"/>
  <c r="AI32" i="1"/>
  <c r="AH32" i="1"/>
  <c r="AF32" i="1"/>
  <c r="AC32" i="1"/>
  <c r="AB32" i="1"/>
  <c r="Z32" i="1"/>
  <c r="W32" i="1"/>
  <c r="T32" i="1"/>
  <c r="S32" i="1"/>
  <c r="Q32" i="1"/>
  <c r="N32" i="1"/>
  <c r="M32" i="1"/>
  <c r="AX31" i="1"/>
  <c r="AY31" i="1" s="1"/>
  <c r="AP31" i="1"/>
  <c r="AM31" i="1"/>
  <c r="AL31" i="1"/>
  <c r="AI31" i="1"/>
  <c r="AH31" i="1"/>
  <c r="AF31" i="1"/>
  <c r="AB31" i="1"/>
  <c r="AC31" i="1" s="1"/>
  <c r="Z31" i="1"/>
  <c r="W31" i="1"/>
  <c r="T31" i="1"/>
  <c r="S31" i="1"/>
  <c r="Q31" i="1"/>
  <c r="N31" i="1"/>
  <c r="M31" i="1"/>
  <c r="AX30" i="1"/>
  <c r="AY30" i="1" s="1"/>
  <c r="AP30" i="1"/>
  <c r="AM30" i="1"/>
  <c r="AL30" i="1"/>
  <c r="AI30" i="1"/>
  <c r="AH30" i="1"/>
  <c r="AF30" i="1"/>
  <c r="AB30" i="1"/>
  <c r="AC30" i="1" s="1"/>
  <c r="Z30" i="1"/>
  <c r="W30" i="1"/>
  <c r="T30" i="1"/>
  <c r="S30" i="1"/>
  <c r="Q30" i="1"/>
  <c r="M30" i="1"/>
  <c r="N30" i="1" s="1"/>
  <c r="AY29" i="1"/>
  <c r="AP29" i="1"/>
  <c r="AM29" i="1"/>
  <c r="AL29" i="1"/>
  <c r="AI29" i="1"/>
  <c r="AH29" i="1"/>
  <c r="AF29" i="1"/>
  <c r="AB29" i="1"/>
  <c r="AC29" i="1" s="1"/>
  <c r="Z29" i="1"/>
  <c r="W29" i="1"/>
  <c r="T29" i="1"/>
  <c r="S29" i="1"/>
  <c r="Q29" i="1"/>
  <c r="M29" i="1"/>
  <c r="N29" i="1" s="1"/>
  <c r="AY28" i="1"/>
  <c r="AP28" i="1"/>
  <c r="AM28" i="1"/>
  <c r="AL28" i="1"/>
  <c r="AI28" i="1"/>
  <c r="AH28" i="1"/>
  <c r="AF28" i="1"/>
  <c r="AB28" i="1"/>
  <c r="AC28" i="1" s="1"/>
  <c r="Z28" i="1"/>
  <c r="W28" i="1"/>
  <c r="T28" i="1"/>
  <c r="S28" i="1"/>
  <c r="Q28" i="1"/>
  <c r="M28" i="1"/>
  <c r="N28" i="1" s="1"/>
  <c r="AY27" i="1"/>
  <c r="AP27" i="1"/>
  <c r="AM27" i="1"/>
  <c r="AL27" i="1"/>
  <c r="AI27" i="1"/>
  <c r="AH27" i="1"/>
  <c r="AF27" i="1"/>
  <c r="AB27" i="1"/>
  <c r="AC27" i="1" s="1"/>
  <c r="Z27" i="1"/>
  <c r="W27" i="1"/>
  <c r="T27" i="1"/>
  <c r="S27" i="1"/>
  <c r="Q27" i="1"/>
  <c r="M27" i="1"/>
  <c r="N27" i="1" s="1"/>
  <c r="AY26" i="1"/>
  <c r="AP26" i="1"/>
  <c r="AM26" i="1"/>
  <c r="AL26" i="1"/>
  <c r="AI26" i="1"/>
  <c r="AH26" i="1"/>
  <c r="AF26" i="1"/>
  <c r="AB26" i="1"/>
  <c r="AC26" i="1" s="1"/>
  <c r="Z26" i="1"/>
  <c r="W26" i="1"/>
  <c r="T26" i="1"/>
  <c r="S26" i="1"/>
  <c r="Q26" i="1"/>
  <c r="M26" i="1"/>
  <c r="N26" i="1" s="1"/>
  <c r="AY25" i="1"/>
  <c r="AP25" i="1"/>
  <c r="AM25" i="1"/>
  <c r="AL25" i="1"/>
  <c r="AI25" i="1"/>
  <c r="AH25" i="1"/>
  <c r="AF25" i="1"/>
  <c r="AB25" i="1"/>
  <c r="AC25" i="1" s="1"/>
  <c r="Z25" i="1"/>
  <c r="W25" i="1"/>
  <c r="T25" i="1"/>
  <c r="S25" i="1"/>
  <c r="Q25" i="1"/>
  <c r="M25" i="1"/>
  <c r="N25" i="1" s="1"/>
  <c r="AY24" i="1"/>
  <c r="AP24" i="1"/>
  <c r="AM24" i="1"/>
  <c r="AL24" i="1"/>
  <c r="AI24" i="1"/>
  <c r="AH24" i="1"/>
  <c r="AF24" i="1"/>
  <c r="AB24" i="1"/>
  <c r="AC24" i="1" s="1"/>
  <c r="Z24" i="1"/>
  <c r="W24" i="1"/>
  <c r="T24" i="1"/>
  <c r="S24" i="1"/>
  <c r="Q24" i="1"/>
  <c r="M24" i="1"/>
  <c r="N24" i="1" s="1"/>
  <c r="AY23" i="1"/>
  <c r="AP23" i="1"/>
  <c r="AM23" i="1"/>
  <c r="AL23" i="1"/>
  <c r="AI23" i="1"/>
  <c r="AH23" i="1"/>
  <c r="AF23" i="1"/>
  <c r="AB23" i="1"/>
  <c r="AC23" i="1" s="1"/>
  <c r="Z23" i="1"/>
  <c r="W23" i="1"/>
  <c r="T23" i="1"/>
  <c r="S23" i="1"/>
  <c r="Q23" i="1"/>
  <c r="M23" i="1"/>
  <c r="N23" i="1" s="1"/>
  <c r="AY22" i="1"/>
  <c r="AP22" i="1"/>
  <c r="AM22" i="1"/>
  <c r="AL22" i="1"/>
  <c r="AI22" i="1"/>
  <c r="AH22" i="1"/>
  <c r="AF22" i="1"/>
  <c r="AB22" i="1"/>
  <c r="AC22" i="1" s="1"/>
  <c r="Z22" i="1"/>
  <c r="W22" i="1"/>
  <c r="T22" i="1"/>
  <c r="S22" i="1"/>
  <c r="Q22" i="1"/>
  <c r="M22" i="1"/>
  <c r="N22" i="1" s="1"/>
  <c r="AY21" i="1"/>
  <c r="AP21" i="1"/>
  <c r="AM21" i="1"/>
  <c r="AL21" i="1"/>
  <c r="AI21" i="1"/>
  <c r="AH21" i="1"/>
  <c r="AF21" i="1"/>
  <c r="AB21" i="1"/>
  <c r="AC21" i="1" s="1"/>
  <c r="Z21" i="1"/>
  <c r="W21" i="1"/>
  <c r="T21" i="1"/>
  <c r="S21" i="1"/>
  <c r="Q21" i="1"/>
  <c r="M21" i="1"/>
  <c r="N21" i="1" s="1"/>
  <c r="AY20" i="1"/>
  <c r="AP20" i="1"/>
  <c r="AM20" i="1"/>
  <c r="AL20" i="1"/>
  <c r="AI20" i="1"/>
  <c r="AH20" i="1"/>
  <c r="AF20" i="1"/>
  <c r="AB20" i="1"/>
  <c r="AC20" i="1" s="1"/>
  <c r="Z20" i="1"/>
  <c r="W20" i="1"/>
  <c r="T20" i="1"/>
  <c r="S20" i="1"/>
  <c r="Q20" i="1"/>
  <c r="M20" i="1"/>
  <c r="N20" i="1" s="1"/>
  <c r="AY19" i="1"/>
  <c r="AP19" i="1"/>
  <c r="AM19" i="1"/>
  <c r="AL19" i="1"/>
  <c r="AI19" i="1"/>
  <c r="AH19" i="1"/>
  <c r="AF19" i="1"/>
  <c r="AB19" i="1"/>
  <c r="AC19" i="1" s="1"/>
  <c r="Z19" i="1"/>
  <c r="W19" i="1"/>
  <c r="T19" i="1"/>
  <c r="S19" i="1"/>
  <c r="Q19" i="1"/>
  <c r="M19" i="1"/>
  <c r="N19" i="1" s="1"/>
  <c r="AY18" i="1"/>
  <c r="AP18" i="1"/>
  <c r="AM18" i="1"/>
  <c r="AL18" i="1"/>
  <c r="AI18" i="1"/>
  <c r="AH18" i="1"/>
  <c r="AF18" i="1"/>
  <c r="AB18" i="1"/>
  <c r="AC18" i="1" s="1"/>
  <c r="Z18" i="1"/>
  <c r="W18" i="1"/>
  <c r="T18" i="1"/>
  <c r="S18" i="1"/>
  <c r="Q18" i="1"/>
  <c r="M18" i="1"/>
  <c r="N18" i="1" s="1"/>
  <c r="AX17" i="1"/>
  <c r="AY17" i="1" s="1"/>
  <c r="AP17" i="1"/>
  <c r="AM17" i="1"/>
  <c r="AL17" i="1"/>
  <c r="AH17" i="1"/>
  <c r="AI17" i="1" s="1"/>
  <c r="AF17" i="1"/>
  <c r="AB17" i="1"/>
  <c r="AC17" i="1" s="1"/>
  <c r="Z17" i="1"/>
  <c r="W17" i="1"/>
  <c r="T17" i="1"/>
  <c r="S17" i="1"/>
  <c r="Q17" i="1"/>
  <c r="M17" i="1"/>
  <c r="N17" i="1" s="1"/>
  <c r="AX16" i="1"/>
  <c r="AY16" i="1" s="1"/>
  <c r="AP16" i="1"/>
  <c r="AM16" i="1"/>
  <c r="AL16" i="1"/>
  <c r="AB16" i="1"/>
  <c r="AC16" i="1" s="1"/>
  <c r="Z16" i="1"/>
  <c r="W16" i="1"/>
  <c r="T16" i="1"/>
  <c r="S16" i="1"/>
  <c r="Q16" i="1"/>
  <c r="M16" i="1"/>
  <c r="N16" i="1" s="1"/>
  <c r="AY15" i="1"/>
  <c r="AU15" i="1"/>
  <c r="AR15" i="1" s="1"/>
  <c r="AS15" i="1" s="1"/>
  <c r="AP15" i="1"/>
  <c r="AL15" i="1"/>
  <c r="AM15" i="1" s="1"/>
  <c r="AH15" i="1"/>
  <c r="AI15" i="1" s="1"/>
  <c r="AF15" i="1"/>
  <c r="AC15" i="1"/>
  <c r="AB15" i="1"/>
  <c r="Z15" i="1"/>
  <c r="W15" i="1"/>
  <c r="S15" i="1"/>
  <c r="T15" i="1" s="1"/>
  <c r="Q15" i="1"/>
  <c r="M15" i="1"/>
  <c r="N15" i="1" s="1"/>
  <c r="AY14" i="1"/>
  <c r="AV14" i="1"/>
  <c r="AU14" i="1"/>
  <c r="AR14" i="1"/>
  <c r="AS14" i="1" s="1"/>
  <c r="AP14" i="1"/>
  <c r="AL14" i="1"/>
  <c r="AM14" i="1" s="1"/>
  <c r="AI14" i="1"/>
  <c r="AH14" i="1"/>
  <c r="AF14" i="1"/>
  <c r="W14" i="1"/>
  <c r="S14" i="1"/>
  <c r="T14" i="1" s="1"/>
  <c r="Q14" i="1"/>
  <c r="N14" i="1"/>
  <c r="M14" i="1"/>
  <c r="AY13" i="1"/>
  <c r="AU13" i="1"/>
  <c r="AV13" i="1" s="1"/>
  <c r="AR13" i="1"/>
  <c r="AS13" i="1" s="1"/>
  <c r="AP13" i="1"/>
  <c r="AM13" i="1"/>
  <c r="AL13" i="1"/>
  <c r="AI13" i="1"/>
  <c r="AH13" i="1"/>
  <c r="AF13" i="1"/>
  <c r="W13" i="1"/>
  <c r="S13" i="1"/>
  <c r="T13" i="1" s="1"/>
  <c r="Q13" i="1"/>
  <c r="N13" i="1"/>
  <c r="M13" i="1"/>
  <c r="AY12" i="1"/>
  <c r="AU12" i="1"/>
  <c r="AV12" i="1" s="1"/>
  <c r="AR12" i="1"/>
  <c r="AS12" i="1" s="1"/>
  <c r="AP12" i="1"/>
  <c r="AM12" i="1"/>
  <c r="AL12" i="1"/>
  <c r="AH12" i="1"/>
  <c r="AI12" i="1" s="1"/>
  <c r="AF12" i="1"/>
  <c r="AB12" i="1"/>
  <c r="AC12" i="1" s="1"/>
  <c r="Z12" i="1"/>
  <c r="W12" i="1"/>
  <c r="T12" i="1"/>
  <c r="S12" i="1"/>
  <c r="Q12" i="1"/>
  <c r="M12" i="1"/>
  <c r="N12" i="1" s="1"/>
  <c r="AY11" i="1"/>
  <c r="AV11" i="1"/>
  <c r="AU11" i="1"/>
  <c r="AR11" i="1" s="1"/>
  <c r="AS11" i="1" s="1"/>
  <c r="AP11" i="1"/>
  <c r="AL11" i="1"/>
  <c r="AM11" i="1" s="1"/>
  <c r="AH11" i="1"/>
  <c r="AI11" i="1" s="1"/>
  <c r="AF11" i="1"/>
  <c r="AC11" i="1"/>
  <c r="AB11" i="1"/>
  <c r="Z11" i="1"/>
  <c r="W11" i="1"/>
  <c r="S11" i="1"/>
  <c r="T11" i="1" s="1"/>
  <c r="Q11" i="1"/>
  <c r="M11" i="1"/>
  <c r="N11" i="1" s="1"/>
  <c r="AY10" i="1"/>
  <c r="AU10" i="1"/>
  <c r="AV10" i="1" s="1"/>
  <c r="AR10" i="1"/>
  <c r="AS10" i="1" s="1"/>
  <c r="AP10" i="1"/>
  <c r="AL10" i="1"/>
  <c r="AM10" i="1" s="1"/>
  <c r="AH10" i="1"/>
  <c r="AI10" i="1" s="1"/>
  <c r="AF10" i="1"/>
  <c r="AB10" i="1"/>
  <c r="AC10" i="1" s="1"/>
  <c r="Z10" i="1"/>
  <c r="W10" i="1"/>
  <c r="T10" i="1"/>
  <c r="S10" i="1"/>
  <c r="Q10" i="1"/>
  <c r="M10" i="1"/>
  <c r="N10" i="1" s="1"/>
  <c r="AY9" i="1"/>
  <c r="AV9" i="1"/>
  <c r="AU9" i="1"/>
  <c r="AR9" i="1" s="1"/>
  <c r="AS9" i="1" s="1"/>
  <c r="AP9" i="1"/>
  <c r="AL9" i="1"/>
  <c r="AM9" i="1" s="1"/>
  <c r="AH9" i="1"/>
  <c r="AI9" i="1" s="1"/>
  <c r="AF9" i="1"/>
  <c r="AC9" i="1"/>
  <c r="AB9" i="1"/>
  <c r="Z9" i="1"/>
  <c r="W9" i="1"/>
  <c r="S9" i="1"/>
  <c r="T9" i="1" s="1"/>
  <c r="Q9" i="1"/>
  <c r="M9" i="1"/>
  <c r="N9" i="1" s="1"/>
  <c r="AY8" i="1"/>
  <c r="AU8" i="1"/>
  <c r="AV8" i="1" s="1"/>
  <c r="AR8" i="1"/>
  <c r="AS8" i="1" s="1"/>
  <c r="AP8" i="1"/>
  <c r="AL8" i="1"/>
  <c r="AM8" i="1" s="1"/>
  <c r="AH8" i="1"/>
  <c r="AI8" i="1" s="1"/>
  <c r="AF8" i="1"/>
  <c r="AB8" i="1"/>
  <c r="AC8" i="1" s="1"/>
  <c r="Z8" i="1"/>
  <c r="W8" i="1"/>
  <c r="T8" i="1"/>
  <c r="S8" i="1"/>
  <c r="Q8" i="1"/>
  <c r="M8" i="1"/>
  <c r="N8" i="1" s="1"/>
  <c r="AY7" i="1"/>
  <c r="AV7" i="1"/>
  <c r="AU7" i="1"/>
  <c r="AR7" i="1" s="1"/>
  <c r="AS7" i="1" s="1"/>
  <c r="AP7" i="1"/>
  <c r="AL7" i="1"/>
  <c r="AM7" i="1" s="1"/>
  <c r="AH7" i="1"/>
  <c r="AI7" i="1" s="1"/>
  <c r="AF7" i="1"/>
  <c r="AC7" i="1"/>
  <c r="AB7" i="1"/>
  <c r="Z7" i="1"/>
  <c r="W7" i="1"/>
  <c r="S7" i="1"/>
  <c r="T7" i="1" s="1"/>
  <c r="Q7" i="1"/>
  <c r="M7" i="1"/>
  <c r="N7" i="1" s="1"/>
  <c r="AY6" i="1"/>
  <c r="AU6" i="1"/>
  <c r="AV6" i="1" s="1"/>
  <c r="AR6" i="1"/>
  <c r="AS6" i="1" s="1"/>
  <c r="AP6" i="1"/>
  <c r="AL6" i="1"/>
  <c r="AM6" i="1" s="1"/>
  <c r="AH6" i="1"/>
  <c r="AI6" i="1" s="1"/>
  <c r="AF6" i="1"/>
  <c r="AB6" i="1"/>
  <c r="AC6" i="1" s="1"/>
  <c r="Z6" i="1"/>
  <c r="W6" i="1"/>
  <c r="T6" i="1"/>
  <c r="S6" i="1"/>
  <c r="Q6" i="1"/>
  <c r="M6" i="1"/>
  <c r="N6" i="1" s="1"/>
  <c r="AY5" i="1"/>
  <c r="AV5" i="1"/>
  <c r="AU5" i="1"/>
  <c r="AR5" i="1" s="1"/>
  <c r="AS5" i="1" s="1"/>
  <c r="AP5" i="1"/>
  <c r="AL5" i="1"/>
  <c r="AM5" i="1" s="1"/>
  <c r="AH5" i="1"/>
  <c r="AI5" i="1" s="1"/>
  <c r="AF5" i="1"/>
  <c r="AC5" i="1"/>
  <c r="AB5" i="1"/>
  <c r="Z5" i="1"/>
  <c r="W5" i="1"/>
  <c r="S5" i="1"/>
  <c r="T5" i="1" s="1"/>
  <c r="Q5" i="1"/>
  <c r="M5" i="1"/>
  <c r="N5" i="1" s="1"/>
  <c r="AY4" i="1"/>
  <c r="AU4" i="1"/>
  <c r="AV4" i="1" s="1"/>
  <c r="AR4" i="1"/>
  <c r="AS4" i="1" s="1"/>
  <c r="AP4" i="1"/>
  <c r="AL4" i="1"/>
  <c r="AM4" i="1" s="1"/>
  <c r="AH4" i="1"/>
  <c r="AI4" i="1" s="1"/>
  <c r="AF4" i="1"/>
  <c r="AB4" i="1"/>
  <c r="AC4" i="1" s="1"/>
  <c r="Z4" i="1"/>
  <c r="W4" i="1"/>
  <c r="T4" i="1"/>
  <c r="S4" i="1"/>
  <c r="Q4" i="1"/>
  <c r="M4" i="1"/>
  <c r="N4" i="1" s="1"/>
  <c r="AY3" i="1"/>
  <c r="AV3" i="1"/>
  <c r="AU3" i="1"/>
  <c r="AR3" i="1" s="1"/>
  <c r="AS3" i="1" s="1"/>
  <c r="AP3" i="1"/>
  <c r="AL3" i="1"/>
  <c r="AM3" i="1" s="1"/>
  <c r="AH3" i="1"/>
  <c r="AI3" i="1" s="1"/>
  <c r="AF3" i="1"/>
  <c r="AC3" i="1"/>
  <c r="AB3" i="1"/>
  <c r="Z3" i="1"/>
  <c r="W3" i="1"/>
  <c r="S3" i="1"/>
  <c r="T3" i="1" s="1"/>
  <c r="Q3" i="1"/>
  <c r="M3" i="1"/>
  <c r="N3" i="1" s="1"/>
  <c r="AY2" i="1"/>
  <c r="AU2" i="1"/>
  <c r="AV2" i="1" s="1"/>
  <c r="AR2" i="1"/>
  <c r="AS2" i="1" s="1"/>
  <c r="AP2" i="1"/>
  <c r="AL2" i="1"/>
  <c r="AM2" i="1" s="1"/>
  <c r="AH2" i="1"/>
  <c r="AI2" i="1" s="1"/>
  <c r="AF2" i="1"/>
  <c r="AB2" i="1"/>
  <c r="AC2" i="1" s="1"/>
  <c r="Z2" i="1"/>
  <c r="W2" i="1"/>
  <c r="T2" i="1"/>
  <c r="S2" i="1"/>
  <c r="Q2" i="1"/>
  <c r="M2" i="1"/>
  <c r="N2" i="1" s="1"/>
  <c r="AV15" i="1" l="1"/>
</calcChain>
</file>

<file path=xl/sharedStrings.xml><?xml version="1.0" encoding="utf-8"?>
<sst xmlns="http://schemas.openxmlformats.org/spreadsheetml/2006/main" count="641" uniqueCount="250">
  <si>
    <t>Platform</t>
  </si>
  <si>
    <t>Campaign Type</t>
  </si>
  <si>
    <t>Start_Date</t>
  </si>
  <si>
    <t>End_Date</t>
  </si>
  <si>
    <t>Platform_Format</t>
  </si>
  <si>
    <t>TG_Profile</t>
  </si>
  <si>
    <t>Regions</t>
  </si>
  <si>
    <t>Ad_Descriptor</t>
  </si>
  <si>
    <t>Edit</t>
  </si>
  <si>
    <t>Creative_Placement</t>
  </si>
  <si>
    <t>TG_Universe</t>
  </si>
  <si>
    <t xml:space="preserve">R/F Target % </t>
  </si>
  <si>
    <t>Delivered R/F Target %</t>
  </si>
  <si>
    <t>% Delivered R/F Target %</t>
  </si>
  <si>
    <t>Est.Net Reach</t>
  </si>
  <si>
    <t>Delivered Reach</t>
  </si>
  <si>
    <t>% Delivered Reach</t>
  </si>
  <si>
    <t>Est.Avg. Freq</t>
  </si>
  <si>
    <t>Delivered Avg. Freq</t>
  </si>
  <si>
    <t>% Delivered Avg. Freq</t>
  </si>
  <si>
    <t>Est.Impressions</t>
  </si>
  <si>
    <t>Delivered Impressions</t>
  </si>
  <si>
    <t>% Delivered Impressions</t>
  </si>
  <si>
    <t xml:space="preserve"> Est. Clicks</t>
  </si>
  <si>
    <t>Delivered Clicks</t>
  </si>
  <si>
    <t>% Delivered Clicks</t>
  </si>
  <si>
    <t>Est.CTR %</t>
  </si>
  <si>
    <t>Delivered CTR</t>
  </si>
  <si>
    <t>% Delivered CTR</t>
  </si>
  <si>
    <t>Est Video Views</t>
  </si>
  <si>
    <t>Delivered Views</t>
  </si>
  <si>
    <t>% Delivered Views</t>
  </si>
  <si>
    <t>Est.VR %</t>
  </si>
  <si>
    <t>VTR Delivered</t>
  </si>
  <si>
    <t>% Delivered VTR</t>
  </si>
  <si>
    <t>Buy Type</t>
  </si>
  <si>
    <t>Est.Rate (Rs)</t>
  </si>
  <si>
    <t>Delivered Rate (Rs)</t>
  </si>
  <si>
    <t>% Delivered Rate (Rs)</t>
  </si>
  <si>
    <t>Net Media Amount</t>
  </si>
  <si>
    <t>Delivered Net Media Amount</t>
  </si>
  <si>
    <t>% Delivered Net Media Amount</t>
  </si>
  <si>
    <t>Platform Fee rate</t>
  </si>
  <si>
    <t>Delivered Platform Fee rate</t>
  </si>
  <si>
    <t>% Delivered Platform Fee rate</t>
  </si>
  <si>
    <t>Platform fee</t>
  </si>
  <si>
    <t>Delivered Platform fee</t>
  </si>
  <si>
    <t>% Delivered Platform fee</t>
  </si>
  <si>
    <t>Total Amount (Net+Tech)</t>
  </si>
  <si>
    <t>Delivered Total Amount</t>
  </si>
  <si>
    <t>% Delivered Total Amount</t>
  </si>
  <si>
    <t>Auction</t>
  </si>
  <si>
    <t>Programmatic</t>
  </si>
  <si>
    <t xml:space="preserve">Targeting 25+ MF </t>
  </si>
  <si>
    <t>Delhi NCR</t>
  </si>
  <si>
    <t>Faces</t>
  </si>
  <si>
    <t>CPM</t>
  </si>
  <si>
    <t xml:space="preserve">Mumbai </t>
  </si>
  <si>
    <t xml:space="preserve">Bangalore </t>
  </si>
  <si>
    <t xml:space="preserve">Kolkata </t>
  </si>
  <si>
    <t xml:space="preserve">Chennai </t>
  </si>
  <si>
    <t xml:space="preserve">Hyderabad </t>
  </si>
  <si>
    <t>Targeting 25+ MF; HHI -Top -40%</t>
  </si>
  <si>
    <t xml:space="preserve">Rest of North </t>
  </si>
  <si>
    <t xml:space="preserve">Rest of West </t>
  </si>
  <si>
    <t xml:space="preserve">Rest of South </t>
  </si>
  <si>
    <t xml:space="preserve">TN Cities </t>
  </si>
  <si>
    <t xml:space="preserve">Rest of East </t>
  </si>
  <si>
    <t xml:space="preserve">Demo, Geo - Connected TV </t>
  </si>
  <si>
    <t>All markets except TN CTV</t>
  </si>
  <si>
    <t>-</t>
  </si>
  <si>
    <t xml:space="preserve">CPM </t>
  </si>
  <si>
    <t>TN cities  CTV</t>
  </si>
  <si>
    <t>Kerala</t>
  </si>
  <si>
    <t>Social</t>
  </si>
  <si>
    <t xml:space="preserve">Retargeting of website audience, Liked SSD FB page </t>
  </si>
  <si>
    <t>All India</t>
  </si>
  <si>
    <t>Faces, dentist</t>
  </si>
  <si>
    <t>CPC</t>
  </si>
  <si>
    <t xml:space="preserve">25-44 </t>
  </si>
  <si>
    <t xml:space="preserve">DNCR </t>
  </si>
  <si>
    <t>RNF</t>
  </si>
  <si>
    <t xml:space="preserve">Targeting 25-44 MF </t>
  </si>
  <si>
    <t>Targeting 45+</t>
  </si>
  <si>
    <t xml:space="preserve">Targeting 25+ MF; Mid To High Value Goods </t>
  </si>
  <si>
    <t>Platform Name</t>
  </si>
  <si>
    <t>DV360 YT</t>
  </si>
  <si>
    <t>DV360 OTT</t>
  </si>
  <si>
    <t>DV360 Hotstar</t>
  </si>
  <si>
    <t>DV360 Sonyliv</t>
  </si>
  <si>
    <t>DV360 Voot</t>
  </si>
  <si>
    <t>DV360 Zee5</t>
  </si>
  <si>
    <t>Jio</t>
  </si>
  <si>
    <t>Hotstar</t>
  </si>
  <si>
    <t>Voot</t>
  </si>
  <si>
    <t>Zee5</t>
  </si>
  <si>
    <t>Sony liv</t>
  </si>
  <si>
    <t>Youtube</t>
  </si>
  <si>
    <t>TTD OTT</t>
  </si>
  <si>
    <t>TTD</t>
  </si>
  <si>
    <t>DV360 Display</t>
  </si>
  <si>
    <t>DV360 Times</t>
  </si>
  <si>
    <t>DV360 Money Control</t>
  </si>
  <si>
    <t>DV360 NDTV</t>
  </si>
  <si>
    <t>Inshorts</t>
  </si>
  <si>
    <t>Doceree</t>
  </si>
  <si>
    <t>FB</t>
  </si>
  <si>
    <t>Insta</t>
  </si>
  <si>
    <t>FB + Insta</t>
  </si>
  <si>
    <t>Lybrate</t>
  </si>
  <si>
    <t>Practo</t>
  </si>
  <si>
    <t>Paytm</t>
  </si>
  <si>
    <t>Amazon DSP - Video</t>
  </si>
  <si>
    <t>Adcolony</t>
  </si>
  <si>
    <t>Imobi</t>
  </si>
  <si>
    <t>Hello English</t>
  </si>
  <si>
    <t>Amazon Search</t>
  </si>
  <si>
    <t>Amazon Display</t>
  </si>
  <si>
    <t>1MG</t>
  </si>
  <si>
    <t>Flipkart</t>
  </si>
  <si>
    <t>Amazon DSP - Display</t>
  </si>
  <si>
    <t>MX Player</t>
  </si>
  <si>
    <t xml:space="preserve">TTD Hotstar </t>
  </si>
  <si>
    <t>Mcanvas</t>
  </si>
  <si>
    <t>TTD Voot</t>
  </si>
  <si>
    <t>TTD Zee5</t>
  </si>
  <si>
    <t>DV360 Mcanvas</t>
  </si>
  <si>
    <t>Zee News</t>
  </si>
  <si>
    <t>DV360 Zee News</t>
  </si>
  <si>
    <t>Eenadu</t>
  </si>
  <si>
    <t>Daily Tanthi</t>
  </si>
  <si>
    <t>DV360 Eenadu</t>
  </si>
  <si>
    <t>AsiaNet</t>
  </si>
  <si>
    <t>Manorama Online</t>
  </si>
  <si>
    <t>Vijay Kanada</t>
  </si>
  <si>
    <t>Readware</t>
  </si>
  <si>
    <t>Sharechat</t>
  </si>
  <si>
    <t>SunNxt</t>
  </si>
  <si>
    <t>Aha</t>
  </si>
  <si>
    <t>Teads</t>
  </si>
  <si>
    <t>DV360 AsiaNet</t>
  </si>
  <si>
    <t>DV360 Manorama Online</t>
  </si>
  <si>
    <t>DV360 Vijay Kanada</t>
  </si>
  <si>
    <t>DV360 SunNxt</t>
  </si>
  <si>
    <t>Paytm DSP</t>
  </si>
  <si>
    <t>Criteo DSP</t>
  </si>
  <si>
    <t>Cricbuzz</t>
  </si>
  <si>
    <t>Cricinfo</t>
  </si>
  <si>
    <t>Spotify</t>
  </si>
  <si>
    <t>Ganna</t>
  </si>
  <si>
    <t>Jio-Savn</t>
  </si>
  <si>
    <t>Paytunes</t>
  </si>
  <si>
    <t>Truecaller</t>
  </si>
  <si>
    <t>DV360 Cricbuzz</t>
  </si>
  <si>
    <t>DV360 Cricinfo</t>
  </si>
  <si>
    <t>Google Search</t>
  </si>
  <si>
    <t>Snapchat</t>
  </si>
  <si>
    <t>Twitter</t>
  </si>
  <si>
    <t>Parentune</t>
  </si>
  <si>
    <t>Momspresso</t>
  </si>
  <si>
    <t>Seniority.in</t>
  </si>
  <si>
    <t>Evergreen</t>
  </si>
  <si>
    <t>Pharmeasy</t>
  </si>
  <si>
    <t xml:space="preserve">Lemma </t>
  </si>
  <si>
    <t>DV360 Lemma</t>
  </si>
  <si>
    <t>Blis</t>
  </si>
  <si>
    <t>Convosight</t>
  </si>
  <si>
    <t>Pharmarack</t>
  </si>
  <si>
    <t>Jio Smartphone</t>
  </si>
  <si>
    <t>Jio Phone</t>
  </si>
  <si>
    <t>DailyHunt</t>
  </si>
  <si>
    <t>Smytten</t>
  </si>
  <si>
    <t>Stepsetgo</t>
  </si>
  <si>
    <t>one India</t>
  </si>
  <si>
    <t>DV360 OneIndia</t>
  </si>
  <si>
    <t>AajTak</t>
  </si>
  <si>
    <t>DV360 AajTak</t>
  </si>
  <si>
    <t>Zee TV</t>
  </si>
  <si>
    <t>Andhra Jyoti</t>
  </si>
  <si>
    <t>DV360 Zee TV</t>
  </si>
  <si>
    <t>LBB</t>
  </si>
  <si>
    <t>Zomato</t>
  </si>
  <si>
    <t>Swiggy</t>
  </si>
  <si>
    <t>Moca Tech</t>
  </si>
  <si>
    <t>Mediakart</t>
  </si>
  <si>
    <t>NW18</t>
  </si>
  <si>
    <t>DV360 NW18</t>
  </si>
  <si>
    <t>Dv360 Daily Tanthi</t>
  </si>
  <si>
    <t>Taboola</t>
  </si>
  <si>
    <t xml:space="preserve">DV360 MX Player </t>
  </si>
  <si>
    <t>TTD MX Player</t>
  </si>
  <si>
    <t>TTD SonyLiv</t>
  </si>
  <si>
    <t>Glance</t>
  </si>
  <si>
    <t>TTD Display</t>
  </si>
  <si>
    <t>SilverPush</t>
  </si>
  <si>
    <t>Clirnet</t>
  </si>
  <si>
    <t>Platform Format</t>
  </si>
  <si>
    <t>Direct</t>
  </si>
  <si>
    <t>Creative Placement</t>
  </si>
  <si>
    <t>Instream</t>
  </si>
  <si>
    <t>Skippable</t>
  </si>
  <si>
    <t>Non skippable</t>
  </si>
  <si>
    <t>Bumper</t>
  </si>
  <si>
    <t>Video ad sequencing</t>
  </si>
  <si>
    <t>ISR Skippable</t>
  </si>
  <si>
    <t>ISR Non Skippable</t>
  </si>
  <si>
    <t>ISR Bumper</t>
  </si>
  <si>
    <t>Skippable + Non skippable</t>
  </si>
  <si>
    <t>Skippable + Non skippable + Bumper</t>
  </si>
  <si>
    <t>Video ad sequencing Skippable + Non skippable + Bumper</t>
  </si>
  <si>
    <t>Video ad sequencing Non skippable + Skippable + Bumper</t>
  </si>
  <si>
    <t>Video ad sequencing Bumper + Skippable + Non skippable</t>
  </si>
  <si>
    <t>Video ad sequencing Bumper + Non skippable + Skippable</t>
  </si>
  <si>
    <t>Banners</t>
  </si>
  <si>
    <t>In-Banner Video</t>
  </si>
  <si>
    <t>Feeds</t>
  </si>
  <si>
    <t>Stories</t>
  </si>
  <si>
    <t>Feeds + Instream</t>
  </si>
  <si>
    <t>Feeds + Instream + Stories</t>
  </si>
  <si>
    <t>Reels</t>
  </si>
  <si>
    <t>Feeds + Stories</t>
  </si>
  <si>
    <t>Feeds + Stories + Reels</t>
  </si>
  <si>
    <t>Feeds + Stories + Reels + Explore</t>
  </si>
  <si>
    <t>Feeds + Stories + Reels + Explore + instream</t>
  </si>
  <si>
    <t>CTV Skippabble</t>
  </si>
  <si>
    <t xml:space="preserve">CTV Nonskippable </t>
  </si>
  <si>
    <t>CTV Bumper</t>
  </si>
  <si>
    <t>Video ad sequencing Skippable + Bumper + Non skippable</t>
  </si>
  <si>
    <t>Video ad sequencing Non skippable  + Bumper + Skippable</t>
  </si>
  <si>
    <t>Video ad sequencing Skippable + Bumper</t>
  </si>
  <si>
    <t>Video ad sequencing Skippable + Non skippable</t>
  </si>
  <si>
    <t>Video ad sequencing Non skippable + Bumper</t>
  </si>
  <si>
    <t>15 sec</t>
  </si>
  <si>
    <t>30 sec</t>
  </si>
  <si>
    <t>90 sec</t>
  </si>
  <si>
    <t>20 sec</t>
  </si>
  <si>
    <t>6 sec</t>
  </si>
  <si>
    <t>Carousel</t>
  </si>
  <si>
    <t>Statics</t>
  </si>
  <si>
    <t>GIF's</t>
  </si>
  <si>
    <t>Html 5</t>
  </si>
  <si>
    <t>Parallax</t>
  </si>
  <si>
    <t>Interstitial</t>
  </si>
  <si>
    <t>Video ad sequencing, Non skippable, Bumper</t>
  </si>
  <si>
    <t>Stories, Feeds, Reels</t>
  </si>
  <si>
    <t>Feeds, Stories</t>
  </si>
  <si>
    <t>Feeds + Stories, Feeds + Stories + Reels + Explore</t>
  </si>
  <si>
    <t xml:space="preserve">Reels, CTV Nonskippable </t>
  </si>
  <si>
    <t>15 sec, 6 sec</t>
  </si>
  <si>
    <t>Carousel, Statics, GIF's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</si>
</sst>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&quot;Rs.&quot;\ #,##0"/>
    <numFmt numFmtId="165" formatCode="#,##0;[Red]#,##0"/>
    <numFmt numFmtId="166" formatCode="#,##0.0"/>
    <numFmt numFmtId="167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499984740745262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5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3" fontId="3" fillId="3" borderId="2" xfId="0" applyNumberFormat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164" fontId="3" fillId="2" borderId="1" xfId="0" applyNumberFormat="1" applyFont="1" applyFill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14" fontId="5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3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 wrapText="1"/>
    </xf>
    <xf numFmtId="165" fontId="6" fillId="0" borderId="1" xfId="1" applyNumberFormat="1" applyFont="1" applyFill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 wrapText="1"/>
    </xf>
    <xf numFmtId="9" fontId="6" fillId="0" borderId="1" xfId="0" applyNumberFormat="1" applyFont="1" applyBorder="1" applyAlignment="1">
      <alignment horizontal="center" vertical="center" wrapText="1"/>
    </xf>
    <xf numFmtId="3" fontId="5" fillId="0" borderId="1" xfId="0" applyNumberFormat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167" fontId="5" fillId="0" borderId="1" xfId="2" applyNumberFormat="1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67" fontId="6" fillId="0" borderId="1" xfId="0" applyNumberFormat="1" applyFont="1" applyBorder="1" applyAlignment="1">
      <alignment horizontal="center" vertical="center" wrapText="1"/>
    </xf>
    <xf numFmtId="165" fontId="6" fillId="0" borderId="1" xfId="1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9" fontId="5" fillId="0" borderId="1" xfId="0" applyNumberFormat="1" applyFont="1" applyBorder="1" applyAlignment="1">
      <alignment horizontal="center" vertical="center"/>
    </xf>
    <xf numFmtId="9" fontId="6" fillId="0" borderId="1" xfId="0" applyNumberFormat="1" applyFont="1" applyBorder="1" applyAlignment="1">
      <alignment horizontal="center" vertical="center"/>
    </xf>
    <xf numFmtId="167" fontId="5" fillId="0" borderId="1" xfId="2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5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5" fontId="4" fillId="0" borderId="1" xfId="1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/>
    </xf>
    <xf numFmtId="0" fontId="2" fillId="6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7" borderId="0" xfId="0" applyFill="1" applyAlignment="1">
      <alignment horizontal="left" indent="1"/>
    </xf>
    <xf numFmtId="0" fontId="0" fillId="0" borderId="0" xfId="0" applyAlignment="1">
      <alignment horizontal="left" vertical="center" wrapText="1" inden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B24C6-8791-4F14-9B8E-0BF548253E42}">
  <sheetPr codeName="Sheet1"/>
  <dimension ref="A1:XFC111"/>
  <sheetViews>
    <sheetView tabSelected="1" zoomScale="95" zoomScaleNormal="85" workbookViewId="0">
      <selection activeCell="I8" sqref="I8"/>
    </sheetView>
  </sheetViews>
  <sheetFormatPr defaultRowHeight="15" customHeight="1" x14ac:dyDescent="0.3"/>
  <cols>
    <col min="1" max="1" width="23.88671875" bestFit="1" customWidth="1"/>
    <col min="2" max="2" width="11.21875" bestFit="1" customWidth="1"/>
    <col min="3" max="3" width="8" bestFit="1" customWidth="1"/>
    <col min="4" max="4" width="7.5546875" bestFit="1" customWidth="1"/>
    <col min="5" max="5" width="14" customWidth="1"/>
    <col min="6" max="6" width="37.109375" bestFit="1" customWidth="1"/>
    <col min="7" max="7" width="19" bestFit="1" customWidth="1"/>
    <col min="8" max="8" width="10.5546875" bestFit="1" customWidth="1"/>
    <col min="9" max="9" width="16.109375" bestFit="1" customWidth="1"/>
    <col min="10" max="10" width="39" customWidth="1"/>
    <col min="11" max="12" width="9.6640625" bestFit="1" customWidth="1"/>
    <col min="13" max="13" width="16.5546875" bestFit="1" customWidth="1"/>
    <col min="14" max="14" width="18.21875" bestFit="1" customWidth="1"/>
    <col min="15" max="15" width="10.21875" bestFit="1" customWidth="1"/>
    <col min="16" max="16" width="12" bestFit="1" customWidth="1"/>
    <col min="17" max="17" width="13.6640625" bestFit="1" customWidth="1"/>
    <col min="18" max="18" width="9.6640625" bestFit="1" customWidth="1"/>
    <col min="19" max="19" width="14.44140625" bestFit="1" customWidth="1"/>
    <col min="20" max="20" width="16" bestFit="1" customWidth="1"/>
    <col min="21" max="21" width="11.5546875" bestFit="1" customWidth="1"/>
    <col min="22" max="22" width="16.33203125" bestFit="1" customWidth="1"/>
    <col min="23" max="23" width="18" bestFit="1" customWidth="1"/>
    <col min="24" max="24" width="7.77734375" bestFit="1" customWidth="1"/>
    <col min="25" max="25" width="11.77734375" bestFit="1" customWidth="1"/>
    <col min="26" max="26" width="13.44140625" bestFit="1" customWidth="1"/>
    <col min="27" max="27" width="7.33203125" bestFit="1" customWidth="1"/>
    <col min="28" max="28" width="10.44140625" bestFit="1" customWidth="1"/>
    <col min="29" max="29" width="12" bestFit="1" customWidth="1"/>
    <col min="30" max="30" width="11.77734375" bestFit="1" customWidth="1"/>
    <col min="31" max="31" width="12.109375" bestFit="1" customWidth="1"/>
    <col min="32" max="32" width="13.77734375" bestFit="1" customWidth="1"/>
    <col min="33" max="33" width="6.6640625" bestFit="1" customWidth="1"/>
    <col min="34" max="34" width="10.5546875" bestFit="1" customWidth="1"/>
    <col min="35" max="35" width="12.109375" bestFit="1" customWidth="1"/>
    <col min="36" max="36" width="7" bestFit="1" customWidth="1"/>
    <col min="37" max="37" width="9.33203125" bestFit="1" customWidth="1"/>
    <col min="38" max="38" width="14.109375" bestFit="1" customWidth="1"/>
    <col min="39" max="39" width="15.6640625" bestFit="1" customWidth="1"/>
    <col min="40" max="40" width="14.109375" bestFit="1" customWidth="1"/>
    <col min="41" max="41" width="21.44140625" bestFit="1" customWidth="1"/>
    <col min="42" max="42" width="23" bestFit="1" customWidth="1"/>
    <col min="43" max="43" width="12.88671875" bestFit="1" customWidth="1"/>
    <col min="44" max="44" width="20.109375" bestFit="1" customWidth="1"/>
    <col min="45" max="45" width="21.77734375" bestFit="1" customWidth="1"/>
    <col min="46" max="46" width="9.44140625" bestFit="1" customWidth="1"/>
    <col min="47" max="47" width="16.6640625" bestFit="1" customWidth="1"/>
    <col min="48" max="49" width="18.33203125" bestFit="1" customWidth="1"/>
    <col min="50" max="50" width="17.44140625" bestFit="1" customWidth="1"/>
    <col min="51" max="51" width="19" bestFit="1" customWidth="1"/>
    <col min="16383" max="16383" width="50.109375" bestFit="1" customWidth="1"/>
  </cols>
  <sheetData>
    <row r="1" spans="1:51 16380:16383" ht="15" customHeight="1" x14ac:dyDescent="0.3">
      <c r="A1" s="36" t="s">
        <v>0</v>
      </c>
      <c r="B1" s="1" t="s">
        <v>1</v>
      </c>
      <c r="C1" s="1" t="s">
        <v>2</v>
      </c>
      <c r="D1" s="1" t="s">
        <v>3</v>
      </c>
      <c r="E1" s="36" t="s">
        <v>4</v>
      </c>
      <c r="F1" s="1" t="s">
        <v>5</v>
      </c>
      <c r="G1" s="1" t="s">
        <v>6</v>
      </c>
      <c r="H1" s="1" t="s">
        <v>7</v>
      </c>
      <c r="I1" s="36" t="s">
        <v>8</v>
      </c>
      <c r="J1" s="36" t="s">
        <v>9</v>
      </c>
      <c r="K1" s="2" t="s">
        <v>10</v>
      </c>
      <c r="L1" s="1" t="s">
        <v>11</v>
      </c>
      <c r="M1" s="3" t="s">
        <v>12</v>
      </c>
      <c r="N1" s="3" t="s">
        <v>13</v>
      </c>
      <c r="O1" s="1" t="s">
        <v>14</v>
      </c>
      <c r="P1" s="3" t="s">
        <v>15</v>
      </c>
      <c r="Q1" s="3" t="s">
        <v>16</v>
      </c>
      <c r="R1" s="1" t="s">
        <v>17</v>
      </c>
      <c r="S1" s="4" t="s">
        <v>18</v>
      </c>
      <c r="T1" s="4" t="s">
        <v>19</v>
      </c>
      <c r="U1" s="1" t="s">
        <v>20</v>
      </c>
      <c r="V1" s="4" t="s">
        <v>21</v>
      </c>
      <c r="W1" s="4" t="s">
        <v>22</v>
      </c>
      <c r="X1" s="1" t="s">
        <v>23</v>
      </c>
      <c r="Y1" s="5" t="s">
        <v>24</v>
      </c>
      <c r="Z1" s="3" t="s">
        <v>25</v>
      </c>
      <c r="AA1" s="1" t="s">
        <v>26</v>
      </c>
      <c r="AB1" s="3" t="s">
        <v>27</v>
      </c>
      <c r="AC1" s="3" t="s">
        <v>28</v>
      </c>
      <c r="AD1" s="1" t="s">
        <v>29</v>
      </c>
      <c r="AE1" s="3" t="s">
        <v>30</v>
      </c>
      <c r="AF1" s="3" t="s">
        <v>31</v>
      </c>
      <c r="AG1" s="1" t="s">
        <v>32</v>
      </c>
      <c r="AH1" s="3" t="s">
        <v>33</v>
      </c>
      <c r="AI1" s="3" t="s">
        <v>34</v>
      </c>
      <c r="AJ1" s="1" t="s">
        <v>35</v>
      </c>
      <c r="AK1" s="6" t="s">
        <v>36</v>
      </c>
      <c r="AL1" s="3" t="s">
        <v>37</v>
      </c>
      <c r="AM1" s="3" t="s">
        <v>38</v>
      </c>
      <c r="AN1" s="6" t="s">
        <v>39</v>
      </c>
      <c r="AO1" s="3" t="s">
        <v>40</v>
      </c>
      <c r="AP1" s="3" t="s">
        <v>41</v>
      </c>
      <c r="AQ1" s="6" t="s">
        <v>42</v>
      </c>
      <c r="AR1" s="3" t="s">
        <v>43</v>
      </c>
      <c r="AS1" s="3" t="s">
        <v>44</v>
      </c>
      <c r="AT1" s="6" t="s">
        <v>45</v>
      </c>
      <c r="AU1" s="3" t="s">
        <v>46</v>
      </c>
      <c r="AV1" s="3" t="s">
        <v>47</v>
      </c>
      <c r="AW1" s="6" t="s">
        <v>48</v>
      </c>
      <c r="AX1" s="5" t="s">
        <v>49</v>
      </c>
      <c r="AY1" s="5" t="s">
        <v>50</v>
      </c>
      <c r="XEZ1" s="37" t="s">
        <v>85</v>
      </c>
      <c r="XFA1" s="37" t="s">
        <v>196</v>
      </c>
      <c r="XFB1" s="37" t="s">
        <v>8</v>
      </c>
      <c r="XFC1" s="37" t="s">
        <v>198</v>
      </c>
    </row>
    <row r="2" spans="1:51 16380:16383" ht="15" customHeight="1" x14ac:dyDescent="0.3">
      <c r="A2" s="7" t="s">
        <v>86</v>
      </c>
      <c r="B2" s="8" t="s">
        <v>51</v>
      </c>
      <c r="C2" s="9">
        <v>44562</v>
      </c>
      <c r="D2" s="9">
        <v>44592</v>
      </c>
      <c r="E2" s="10" t="s">
        <v>52</v>
      </c>
      <c r="F2" s="11" t="s">
        <v>53</v>
      </c>
      <c r="G2" s="8" t="s">
        <v>54</v>
      </c>
      <c r="H2" s="12" t="s">
        <v>55</v>
      </c>
      <c r="I2" s="13" t="s">
        <v>248</v>
      </c>
      <c r="J2" s="14" t="s">
        <v>209</v>
      </c>
      <c r="K2" s="15">
        <v>15030000</v>
      </c>
      <c r="L2" s="16">
        <v>0.6</v>
      </c>
      <c r="M2" s="16">
        <f t="shared" ref="M2:M34" si="0">P2/K2</f>
        <v>0.80481856287425146</v>
      </c>
      <c r="N2" s="17">
        <f>M2/L2</f>
        <v>1.3413642714570859</v>
      </c>
      <c r="O2" s="18">
        <v>9018000</v>
      </c>
      <c r="P2" s="18">
        <v>12096423</v>
      </c>
      <c r="Q2" s="17">
        <f>P2/O2</f>
        <v>1.3413642714570859</v>
      </c>
      <c r="R2" s="12">
        <v>3.12</v>
      </c>
      <c r="S2" s="19">
        <f>V2/P2</f>
        <v>1.9391465559694796</v>
      </c>
      <c r="T2" s="17">
        <f>S2/R2</f>
        <v>0.62152133204149984</v>
      </c>
      <c r="U2" s="18">
        <v>28136160</v>
      </c>
      <c r="V2" s="18">
        <v>23456737</v>
      </c>
      <c r="W2" s="17">
        <f>V2/U2</f>
        <v>0.83368650874888395</v>
      </c>
      <c r="X2" s="18">
        <v>140680.80000000002</v>
      </c>
      <c r="Y2" s="18">
        <v>98590</v>
      </c>
      <c r="Z2" s="17">
        <f>Y2/X2</f>
        <v>0.70080636447901912</v>
      </c>
      <c r="AA2" s="20">
        <v>5.0000000000000001E-3</v>
      </c>
      <c r="AB2" s="20">
        <f>Y2/V2</f>
        <v>4.2030568872388346E-3</v>
      </c>
      <c r="AC2" s="17">
        <f>AB2/AA2</f>
        <v>0.84061137744776693</v>
      </c>
      <c r="AD2" s="18">
        <v>15474888.000000002</v>
      </c>
      <c r="AE2" s="18">
        <v>11091143</v>
      </c>
      <c r="AF2" s="17">
        <f>AE2/AD2</f>
        <v>0.71671878982258219</v>
      </c>
      <c r="AG2" s="16">
        <v>0.55000000000000004</v>
      </c>
      <c r="AH2" s="16">
        <f>AE2/V2</f>
        <v>0.47283400926565361</v>
      </c>
      <c r="AI2" s="17">
        <f>AH2/AG2</f>
        <v>0.85969819866482466</v>
      </c>
      <c r="AJ2" s="21" t="s">
        <v>56</v>
      </c>
      <c r="AK2" s="22">
        <v>86</v>
      </c>
      <c r="AL2" s="22">
        <f>AO2/V2*1000</f>
        <v>75.876678519608248</v>
      </c>
      <c r="AM2" s="17">
        <f>AL2/AK2</f>
        <v>0.88228695953032843</v>
      </c>
      <c r="AN2" s="18">
        <v>2419709.7599999998</v>
      </c>
      <c r="AO2" s="18">
        <v>1779819.292468</v>
      </c>
      <c r="AP2" s="17">
        <f>AO2/AN2</f>
        <v>0.73555073500550749</v>
      </c>
      <c r="AQ2" s="23">
        <v>3.4999999999999976E-2</v>
      </c>
      <c r="AR2" s="23">
        <f>AU2/AO2</f>
        <v>3.4999999995853605E-2</v>
      </c>
      <c r="AS2" s="17">
        <f t="shared" ref="AS2:AS15" si="1">AR2/AQ2</f>
        <v>0.99999999988153221</v>
      </c>
      <c r="AT2" s="24">
        <v>84689.841599999927</v>
      </c>
      <c r="AU2" s="24">
        <f>AX2-AO2</f>
        <v>62293.67522900016</v>
      </c>
      <c r="AV2" s="17">
        <f t="shared" ref="AV2:AV15" si="2">AU2/AT2</f>
        <v>0.73555073491836842</v>
      </c>
      <c r="AW2" s="18">
        <v>2504399.6015999997</v>
      </c>
      <c r="AX2" s="18">
        <v>1842112.9676970001</v>
      </c>
      <c r="AY2" s="17">
        <f>AX2/AW2</f>
        <v>0.73555073500256074</v>
      </c>
      <c r="XEZ2" s="38" t="s">
        <v>86</v>
      </c>
      <c r="XFA2" s="38" t="s">
        <v>52</v>
      </c>
      <c r="XFB2" s="38" t="s">
        <v>232</v>
      </c>
      <c r="XFC2" s="40" t="s">
        <v>199</v>
      </c>
    </row>
    <row r="3" spans="1:51 16380:16383" ht="15" customHeight="1" x14ac:dyDescent="0.3">
      <c r="A3" s="7" t="s">
        <v>86</v>
      </c>
      <c r="B3" s="8" t="s">
        <v>51</v>
      </c>
      <c r="C3" s="9">
        <v>44562</v>
      </c>
      <c r="D3" s="9">
        <v>44592</v>
      </c>
      <c r="E3" s="10" t="s">
        <v>52</v>
      </c>
      <c r="F3" s="25" t="s">
        <v>53</v>
      </c>
      <c r="G3" s="7" t="s">
        <v>57</v>
      </c>
      <c r="H3" s="12" t="s">
        <v>55</v>
      </c>
      <c r="I3" s="13" t="s">
        <v>248</v>
      </c>
      <c r="J3" s="14" t="s">
        <v>243</v>
      </c>
      <c r="K3" s="15">
        <v>11360000</v>
      </c>
      <c r="L3" s="26">
        <v>0.6</v>
      </c>
      <c r="M3" s="26">
        <f t="shared" si="0"/>
        <v>0.46634603873239439</v>
      </c>
      <c r="N3" s="27">
        <f t="shared" ref="N3:N7" si="3">M3/L3</f>
        <v>0.77724339788732399</v>
      </c>
      <c r="O3" s="18">
        <v>6816000</v>
      </c>
      <c r="P3" s="18">
        <v>5297691</v>
      </c>
      <c r="Q3" s="27">
        <f t="shared" ref="Q3:Q7" si="4">P3/O3</f>
        <v>0.77724339788732399</v>
      </c>
      <c r="R3" s="12">
        <v>3.12</v>
      </c>
      <c r="S3" s="19">
        <f t="shared" ref="S3:S7" si="5">V3/P3</f>
        <v>1.8099460689572118</v>
      </c>
      <c r="T3" s="27">
        <f t="shared" ref="T3:T7" si="6">S3/R3</f>
        <v>0.58011091953756788</v>
      </c>
      <c r="U3" s="18">
        <v>21265920</v>
      </c>
      <c r="V3" s="18">
        <v>9588535</v>
      </c>
      <c r="W3" s="27">
        <f t="shared" ref="W3:W7" si="7">V3/U3</f>
        <v>0.45088738225291924</v>
      </c>
      <c r="X3" s="18">
        <v>106329.60000000001</v>
      </c>
      <c r="Y3" s="18">
        <v>38923</v>
      </c>
      <c r="Z3" s="27">
        <f t="shared" ref="Z3:Z7" si="8">Y3/X3</f>
        <v>0.36605987420247982</v>
      </c>
      <c r="AA3" s="28">
        <v>5.0000000000000001E-3</v>
      </c>
      <c r="AB3" s="28">
        <f t="shared" ref="AB3:AB7" si="9">Y3/V3</f>
        <v>4.0593271026282953E-3</v>
      </c>
      <c r="AC3" s="27">
        <f t="shared" ref="AC3:AC7" si="10">AB3/AA3</f>
        <v>0.81186542052565902</v>
      </c>
      <c r="AD3" s="18">
        <v>11696256.000000002</v>
      </c>
      <c r="AE3" s="18">
        <v>4390886</v>
      </c>
      <c r="AF3" s="27">
        <f t="shared" ref="AF3:AF7" si="11">AE3/AD3</f>
        <v>0.37540953275988481</v>
      </c>
      <c r="AG3" s="26">
        <v>0.55000000000000004</v>
      </c>
      <c r="AH3" s="26">
        <f t="shared" ref="AH3:AH7" si="12">AE3/V3</f>
        <v>0.45793085179331355</v>
      </c>
      <c r="AI3" s="27">
        <f t="shared" ref="AI3:AI7" si="13">AH3/AG3</f>
        <v>0.83260154871511549</v>
      </c>
      <c r="AJ3" s="29" t="s">
        <v>56</v>
      </c>
      <c r="AK3" s="30">
        <v>86</v>
      </c>
      <c r="AL3" s="30">
        <f t="shared" ref="AL3:AL7" si="14">AO3/V3*1000</f>
        <v>77.254842317517756</v>
      </c>
      <c r="AM3" s="27">
        <f t="shared" ref="AM3:AM7" si="15">AL3/AK3</f>
        <v>0.89831211997113669</v>
      </c>
      <c r="AN3" s="18">
        <v>1828869.1200000001</v>
      </c>
      <c r="AO3" s="18">
        <v>740760.75948100002</v>
      </c>
      <c r="AP3" s="27">
        <f t="shared" ref="AP3:AP7" si="16">AO3/AN3</f>
        <v>0.40503760021985608</v>
      </c>
      <c r="AQ3" s="23">
        <v>3.4999999999999976E-2</v>
      </c>
      <c r="AR3" s="23">
        <f t="shared" ref="AR3:AR15" si="17">AU3/AO3</f>
        <v>3.4999999973223499E-2</v>
      </c>
      <c r="AS3" s="17">
        <f t="shared" si="1"/>
        <v>0.99999999923495775</v>
      </c>
      <c r="AT3" s="31">
        <v>64010.419199999887</v>
      </c>
      <c r="AU3" s="24">
        <f t="shared" ref="AU3:AU7" si="18">AX3-AO3</f>
        <v>25926.626562000019</v>
      </c>
      <c r="AV3" s="17">
        <f t="shared" si="2"/>
        <v>0.40503759990998567</v>
      </c>
      <c r="AW3" s="18">
        <v>1892879.5392</v>
      </c>
      <c r="AX3" s="18">
        <v>766687.38604300003</v>
      </c>
      <c r="AY3" s="27">
        <f t="shared" ref="AY3:AY7" si="19">AX3/AW3</f>
        <v>0.40503760020937735</v>
      </c>
      <c r="XEZ3" s="38" t="s">
        <v>87</v>
      </c>
      <c r="XFA3" s="38" t="s">
        <v>197</v>
      </c>
      <c r="XFB3" s="38" t="s">
        <v>233</v>
      </c>
      <c r="XFC3" s="38" t="s">
        <v>200</v>
      </c>
    </row>
    <row r="4" spans="1:51 16380:16383" ht="15" customHeight="1" x14ac:dyDescent="0.3">
      <c r="A4" s="7" t="s">
        <v>86</v>
      </c>
      <c r="B4" s="8" t="s">
        <v>51</v>
      </c>
      <c r="C4" s="9">
        <v>44562</v>
      </c>
      <c r="D4" s="9">
        <v>44592</v>
      </c>
      <c r="E4" s="10" t="s">
        <v>52</v>
      </c>
      <c r="F4" s="11" t="s">
        <v>53</v>
      </c>
      <c r="G4" s="8" t="s">
        <v>58</v>
      </c>
      <c r="H4" s="12" t="s">
        <v>55</v>
      </c>
      <c r="I4" s="13" t="s">
        <v>248</v>
      </c>
      <c r="J4" s="14" t="s">
        <v>243</v>
      </c>
      <c r="K4" s="15">
        <v>8710000</v>
      </c>
      <c r="L4" s="16">
        <v>0.6</v>
      </c>
      <c r="M4" s="16">
        <f t="shared" si="0"/>
        <v>0.77497979334098732</v>
      </c>
      <c r="N4" s="17">
        <f t="shared" si="3"/>
        <v>1.2916329889016456</v>
      </c>
      <c r="O4" s="18">
        <v>5226000</v>
      </c>
      <c r="P4" s="18">
        <v>6750074</v>
      </c>
      <c r="Q4" s="17">
        <f t="shared" si="4"/>
        <v>1.2916329889016456</v>
      </c>
      <c r="R4" s="12">
        <v>3.12</v>
      </c>
      <c r="S4" s="19">
        <f t="shared" si="5"/>
        <v>1.7645043595077625</v>
      </c>
      <c r="T4" s="17">
        <f t="shared" si="6"/>
        <v>0.56554626907300076</v>
      </c>
      <c r="U4" s="18">
        <v>16305120</v>
      </c>
      <c r="V4" s="18">
        <v>11910535</v>
      </c>
      <c r="W4" s="17">
        <f t="shared" si="7"/>
        <v>0.73047821788493428</v>
      </c>
      <c r="X4" s="18">
        <v>81525.600000000006</v>
      </c>
      <c r="Y4" s="18">
        <v>47062</v>
      </c>
      <c r="Z4" s="17">
        <f t="shared" si="8"/>
        <v>0.57726652732393258</v>
      </c>
      <c r="AA4" s="20">
        <v>5.0000000000000001E-3</v>
      </c>
      <c r="AB4" s="20">
        <f t="shared" si="9"/>
        <v>3.9512918605251572E-3</v>
      </c>
      <c r="AC4" s="17">
        <f t="shared" si="10"/>
        <v>0.79025837210503147</v>
      </c>
      <c r="AD4" s="18">
        <v>8967816</v>
      </c>
      <c r="AE4" s="18">
        <v>5148349</v>
      </c>
      <c r="AF4" s="17">
        <f t="shared" si="11"/>
        <v>0.57409172980355527</v>
      </c>
      <c r="AG4" s="16">
        <v>0.55000000000000004</v>
      </c>
      <c r="AH4" s="16">
        <f t="shared" si="12"/>
        <v>0.43225169986066958</v>
      </c>
      <c r="AI4" s="17">
        <f t="shared" si="13"/>
        <v>0.78591218156485376</v>
      </c>
      <c r="AJ4" s="21" t="s">
        <v>56</v>
      </c>
      <c r="AK4" s="22">
        <v>86</v>
      </c>
      <c r="AL4" s="22">
        <f t="shared" si="14"/>
        <v>77.767279966852868</v>
      </c>
      <c r="AM4" s="17">
        <f t="shared" si="15"/>
        <v>0.90427069728898679</v>
      </c>
      <c r="AN4" s="18">
        <v>1402240.32</v>
      </c>
      <c r="AO4" s="18">
        <v>926249.90989999997</v>
      </c>
      <c r="AP4" s="17">
        <f t="shared" si="16"/>
        <v>0.66055004744122603</v>
      </c>
      <c r="AQ4" s="23">
        <v>3.4999999999999976E-2</v>
      </c>
      <c r="AR4" s="23">
        <f t="shared" si="17"/>
        <v>3.4999999986504715E-2</v>
      </c>
      <c r="AS4" s="17">
        <f t="shared" si="1"/>
        <v>0.9999999996144211</v>
      </c>
      <c r="AT4" s="24">
        <v>49078.411199999973</v>
      </c>
      <c r="AU4" s="24">
        <f t="shared" si="18"/>
        <v>32418.74683399999</v>
      </c>
      <c r="AV4" s="17">
        <f t="shared" si="2"/>
        <v>0.66055004718653176</v>
      </c>
      <c r="AW4" s="18">
        <v>1451318.7312</v>
      </c>
      <c r="AX4" s="18">
        <v>958668.65673399996</v>
      </c>
      <c r="AY4" s="17">
        <f t="shared" si="19"/>
        <v>0.66055004743261314</v>
      </c>
      <c r="XEZ4" s="38" t="s">
        <v>88</v>
      </c>
      <c r="XFA4" s="38" t="s">
        <v>74</v>
      </c>
      <c r="XFB4" s="38" t="s">
        <v>234</v>
      </c>
      <c r="XFC4" s="38" t="s">
        <v>201</v>
      </c>
    </row>
    <row r="5" spans="1:51 16380:16383" ht="15" customHeight="1" x14ac:dyDescent="0.3">
      <c r="A5" s="7" t="s">
        <v>86</v>
      </c>
      <c r="B5" s="8" t="s">
        <v>51</v>
      </c>
      <c r="C5" s="9">
        <v>44562</v>
      </c>
      <c r="D5" s="9">
        <v>44592</v>
      </c>
      <c r="E5" s="10" t="s">
        <v>52</v>
      </c>
      <c r="F5" s="11" t="s">
        <v>53</v>
      </c>
      <c r="G5" s="8" t="s">
        <v>59</v>
      </c>
      <c r="H5" s="12" t="s">
        <v>55</v>
      </c>
      <c r="I5" s="13" t="s">
        <v>248</v>
      </c>
      <c r="J5" s="14" t="s">
        <v>243</v>
      </c>
      <c r="K5" s="15">
        <v>6060000</v>
      </c>
      <c r="L5" s="16">
        <v>0.6</v>
      </c>
      <c r="M5" s="16">
        <f t="shared" si="0"/>
        <v>0.77499735973597361</v>
      </c>
      <c r="N5" s="17">
        <f t="shared" si="3"/>
        <v>1.2916622662266228</v>
      </c>
      <c r="O5" s="18">
        <v>3636000</v>
      </c>
      <c r="P5" s="18">
        <v>4696484</v>
      </c>
      <c r="Q5" s="17">
        <f t="shared" si="4"/>
        <v>1.2916622662266226</v>
      </c>
      <c r="R5" s="12">
        <v>3.12</v>
      </c>
      <c r="S5" s="19">
        <f t="shared" si="5"/>
        <v>1.9520358208395898</v>
      </c>
      <c r="T5" s="17">
        <f t="shared" si="6"/>
        <v>0.62565250667935568</v>
      </c>
      <c r="U5" s="18">
        <v>11344320</v>
      </c>
      <c r="V5" s="18">
        <v>9167705</v>
      </c>
      <c r="W5" s="17">
        <f t="shared" si="7"/>
        <v>0.80813173464782373</v>
      </c>
      <c r="X5" s="18">
        <v>56721.599999999999</v>
      </c>
      <c r="Y5" s="18">
        <v>37853</v>
      </c>
      <c r="Z5" s="17">
        <f t="shared" si="8"/>
        <v>0.6673471834362924</v>
      </c>
      <c r="AA5" s="20">
        <v>5.0000000000000001E-3</v>
      </c>
      <c r="AB5" s="20">
        <f t="shared" si="9"/>
        <v>4.1289504843360471E-3</v>
      </c>
      <c r="AC5" s="17">
        <f t="shared" si="10"/>
        <v>0.82579009686720939</v>
      </c>
      <c r="AD5" s="18">
        <v>6239376.0000000009</v>
      </c>
      <c r="AE5" s="18">
        <v>4441580</v>
      </c>
      <c r="AF5" s="17">
        <f t="shared" si="11"/>
        <v>0.71186285295196172</v>
      </c>
      <c r="AG5" s="16">
        <v>0.55000000000000004</v>
      </c>
      <c r="AH5" s="16">
        <f t="shared" si="12"/>
        <v>0.4844811215020553</v>
      </c>
      <c r="AI5" s="17">
        <f t="shared" si="13"/>
        <v>0.88087476636737316</v>
      </c>
      <c r="AJ5" s="21" t="s">
        <v>56</v>
      </c>
      <c r="AK5" s="22">
        <v>86</v>
      </c>
      <c r="AL5" s="22">
        <f t="shared" si="14"/>
        <v>76.34897506671517</v>
      </c>
      <c r="AM5" s="17">
        <f t="shared" si="15"/>
        <v>0.88777877984552522</v>
      </c>
      <c r="AN5" s="18">
        <v>975611.52</v>
      </c>
      <c r="AO5" s="18">
        <v>699944.88046400005</v>
      </c>
      <c r="AP5" s="17">
        <f t="shared" si="16"/>
        <v>0.71744220534009273</v>
      </c>
      <c r="AQ5" s="23">
        <v>3.4999999999999976E-2</v>
      </c>
      <c r="AR5" s="23">
        <f t="shared" si="17"/>
        <v>3.5000000059661786E-2</v>
      </c>
      <c r="AS5" s="17">
        <f t="shared" si="1"/>
        <v>1.0000000017046231</v>
      </c>
      <c r="AT5" s="24">
        <v>34146.403199999942</v>
      </c>
      <c r="AU5" s="24">
        <f t="shared" si="18"/>
        <v>24498.070857999963</v>
      </c>
      <c r="AV5" s="17">
        <f t="shared" si="2"/>
        <v>0.71744220656306212</v>
      </c>
      <c r="AW5" s="18">
        <v>1009757.9232</v>
      </c>
      <c r="AX5" s="18">
        <v>724442.95132200001</v>
      </c>
      <c r="AY5" s="17">
        <f t="shared" si="19"/>
        <v>0.71744220538144921</v>
      </c>
      <c r="XEZ5" s="38" t="s">
        <v>89</v>
      </c>
      <c r="XFB5" s="38" t="s">
        <v>235</v>
      </c>
      <c r="XFC5" s="38" t="s">
        <v>202</v>
      </c>
    </row>
    <row r="6" spans="1:51 16380:16383" ht="15" customHeight="1" x14ac:dyDescent="0.3">
      <c r="A6" s="7" t="s">
        <v>86</v>
      </c>
      <c r="B6" s="8" t="s">
        <v>51</v>
      </c>
      <c r="C6" s="9">
        <v>44562</v>
      </c>
      <c r="D6" s="9">
        <v>44592</v>
      </c>
      <c r="E6" s="10" t="s">
        <v>52</v>
      </c>
      <c r="F6" s="11" t="s">
        <v>53</v>
      </c>
      <c r="G6" s="8" t="s">
        <v>60</v>
      </c>
      <c r="H6" s="12" t="s">
        <v>55</v>
      </c>
      <c r="I6" s="13" t="s">
        <v>248</v>
      </c>
      <c r="J6" s="14" t="s">
        <v>243</v>
      </c>
      <c r="K6" s="15">
        <v>6380000</v>
      </c>
      <c r="L6" s="16">
        <v>0.6</v>
      </c>
      <c r="M6" s="16">
        <f t="shared" si="0"/>
        <v>0.94527100313479628</v>
      </c>
      <c r="N6" s="17">
        <f t="shared" si="3"/>
        <v>1.5754516718913272</v>
      </c>
      <c r="O6" s="18">
        <v>3828000</v>
      </c>
      <c r="P6" s="18">
        <v>6030829</v>
      </c>
      <c r="Q6" s="17">
        <f t="shared" si="4"/>
        <v>1.575451671891327</v>
      </c>
      <c r="R6" s="12">
        <v>3.12</v>
      </c>
      <c r="S6" s="19">
        <f t="shared" si="5"/>
        <v>1.8694735002434988</v>
      </c>
      <c r="T6" s="17">
        <f t="shared" si="6"/>
        <v>0.59919022443701886</v>
      </c>
      <c r="U6" s="18">
        <v>11943360</v>
      </c>
      <c r="V6" s="18">
        <v>11274475</v>
      </c>
      <c r="W6" s="17">
        <f t="shared" si="7"/>
        <v>0.94399524087024089</v>
      </c>
      <c r="X6" s="18">
        <v>59716.800000000003</v>
      </c>
      <c r="Y6" s="18">
        <v>31837</v>
      </c>
      <c r="Z6" s="17">
        <f t="shared" si="8"/>
        <v>0.53313305468477878</v>
      </c>
      <c r="AA6" s="20">
        <v>5.0000000000000001E-3</v>
      </c>
      <c r="AB6" s="20">
        <f t="shared" si="9"/>
        <v>2.8238121952463419E-3</v>
      </c>
      <c r="AC6" s="17">
        <f t="shared" si="10"/>
        <v>0.56476243904926837</v>
      </c>
      <c r="AD6" s="18">
        <v>6568848.0000000009</v>
      </c>
      <c r="AE6" s="18">
        <v>9919194</v>
      </c>
      <c r="AF6" s="17">
        <f t="shared" si="11"/>
        <v>1.5100355496123519</v>
      </c>
      <c r="AG6" s="16">
        <v>0.55000000000000004</v>
      </c>
      <c r="AH6" s="16">
        <f t="shared" si="12"/>
        <v>0.87979209674951608</v>
      </c>
      <c r="AI6" s="17">
        <f t="shared" si="13"/>
        <v>1.5996219940900291</v>
      </c>
      <c r="AJ6" s="21" t="s">
        <v>56</v>
      </c>
      <c r="AK6" s="22">
        <v>86</v>
      </c>
      <c r="AL6" s="22">
        <f t="shared" si="14"/>
        <v>69.257955790313957</v>
      </c>
      <c r="AM6" s="17">
        <f t="shared" si="15"/>
        <v>0.80532506732923204</v>
      </c>
      <c r="AN6" s="18">
        <v>1027128.96</v>
      </c>
      <c r="AO6" s="18">
        <v>780847.09110900003</v>
      </c>
      <c r="AP6" s="17">
        <f t="shared" si="16"/>
        <v>0.76022303091230148</v>
      </c>
      <c r="AQ6" s="23">
        <v>3.4999999999999976E-2</v>
      </c>
      <c r="AR6" s="23">
        <f t="shared" si="17"/>
        <v>3.4999999562250951E-2</v>
      </c>
      <c r="AS6" s="17">
        <f t="shared" si="1"/>
        <v>0.99999998749288499</v>
      </c>
      <c r="AT6" s="24">
        <v>35949.513599999947</v>
      </c>
      <c r="AU6" s="24">
        <f t="shared" si="18"/>
        <v>27329.647846999927</v>
      </c>
      <c r="AV6" s="17">
        <f t="shared" si="2"/>
        <v>0.76022302140410514</v>
      </c>
      <c r="AW6" s="18">
        <v>1063078.4735999999</v>
      </c>
      <c r="AX6" s="18">
        <v>808176.73895599996</v>
      </c>
      <c r="AY6" s="17">
        <f t="shared" si="19"/>
        <v>0.76022303059076823</v>
      </c>
      <c r="XEZ6" s="38" t="s">
        <v>90</v>
      </c>
      <c r="XFB6" s="38" t="s">
        <v>236</v>
      </c>
      <c r="XFC6" s="38" t="s">
        <v>203</v>
      </c>
    </row>
    <row r="7" spans="1:51 16380:16383" ht="15" customHeight="1" x14ac:dyDescent="0.3">
      <c r="A7" s="7" t="s">
        <v>86</v>
      </c>
      <c r="B7" s="8" t="s">
        <v>51</v>
      </c>
      <c r="C7" s="9">
        <v>44562</v>
      </c>
      <c r="D7" s="9">
        <v>44592</v>
      </c>
      <c r="E7" s="10" t="s">
        <v>52</v>
      </c>
      <c r="F7" s="11" t="s">
        <v>53</v>
      </c>
      <c r="G7" s="8" t="s">
        <v>61</v>
      </c>
      <c r="H7" s="12" t="s">
        <v>55</v>
      </c>
      <c r="I7" s="13" t="s">
        <v>248</v>
      </c>
      <c r="J7" s="14" t="s">
        <v>243</v>
      </c>
      <c r="K7" s="15">
        <v>6270000</v>
      </c>
      <c r="L7" s="16">
        <v>0.6</v>
      </c>
      <c r="M7" s="16">
        <f t="shared" si="0"/>
        <v>1.0570519936204146</v>
      </c>
      <c r="N7" s="17">
        <f t="shared" si="3"/>
        <v>1.761753322700691</v>
      </c>
      <c r="O7" s="18">
        <v>3762000</v>
      </c>
      <c r="P7" s="18">
        <v>6627716</v>
      </c>
      <c r="Q7" s="17">
        <f t="shared" si="4"/>
        <v>1.7617533227006912</v>
      </c>
      <c r="R7" s="12">
        <v>3.12</v>
      </c>
      <c r="S7" s="19">
        <f t="shared" si="5"/>
        <v>1.8646913959499773</v>
      </c>
      <c r="T7" s="17">
        <f t="shared" si="6"/>
        <v>0.59765749870191576</v>
      </c>
      <c r="U7" s="18">
        <v>11737440</v>
      </c>
      <c r="V7" s="18">
        <v>12358645</v>
      </c>
      <c r="W7" s="17">
        <f t="shared" si="7"/>
        <v>1.0529250841750841</v>
      </c>
      <c r="X7" s="18">
        <v>58687.200000000004</v>
      </c>
      <c r="Y7" s="18">
        <v>52652</v>
      </c>
      <c r="Z7" s="17">
        <f t="shared" si="8"/>
        <v>0.89716326558431814</v>
      </c>
      <c r="AA7" s="20">
        <v>5.0000000000000001E-3</v>
      </c>
      <c r="AB7" s="20">
        <f t="shared" si="9"/>
        <v>4.2603376017354656E-3</v>
      </c>
      <c r="AC7" s="17">
        <f t="shared" si="10"/>
        <v>0.8520675203470931</v>
      </c>
      <c r="AD7" s="18">
        <v>6455592.0000000009</v>
      </c>
      <c r="AE7" s="18">
        <v>6256313</v>
      </c>
      <c r="AF7" s="17">
        <f t="shared" si="11"/>
        <v>0.96913079389155932</v>
      </c>
      <c r="AG7" s="16">
        <v>0.55000000000000004</v>
      </c>
      <c r="AH7" s="16">
        <f t="shared" si="12"/>
        <v>0.50622968780153488</v>
      </c>
      <c r="AI7" s="17">
        <f t="shared" si="13"/>
        <v>0.92041761418460877</v>
      </c>
      <c r="AJ7" s="21" t="s">
        <v>56</v>
      </c>
      <c r="AK7" s="22">
        <v>86</v>
      </c>
      <c r="AL7" s="22">
        <f t="shared" si="14"/>
        <v>75.667095744476839</v>
      </c>
      <c r="AM7" s="17">
        <f t="shared" si="15"/>
        <v>0.87984995051717252</v>
      </c>
      <c r="AN7" s="18">
        <v>1009419.84</v>
      </c>
      <c r="AO7" s="18">
        <v>935142.77448699996</v>
      </c>
      <c r="AP7" s="17">
        <f t="shared" si="16"/>
        <v>0.92641608320973756</v>
      </c>
      <c r="AQ7" s="23">
        <v>3.4999999999999976E-2</v>
      </c>
      <c r="AR7" s="23">
        <f t="shared" si="17"/>
        <v>3.4999999996743886E-2</v>
      </c>
      <c r="AS7" s="17">
        <f t="shared" si="1"/>
        <v>0.99999999990696886</v>
      </c>
      <c r="AT7" s="24">
        <v>35329.69439999992</v>
      </c>
      <c r="AU7" s="24">
        <f t="shared" si="18"/>
        <v>32729.997104000067</v>
      </c>
      <c r="AV7" s="17">
        <f t="shared" si="2"/>
        <v>0.9264160831235535</v>
      </c>
      <c r="AW7" s="18">
        <v>1044749.5343999999</v>
      </c>
      <c r="AX7" s="18">
        <v>967872.77159100003</v>
      </c>
      <c r="AY7" s="17">
        <f t="shared" si="19"/>
        <v>0.92641608320682312</v>
      </c>
      <c r="XEZ7" s="38" t="s">
        <v>91</v>
      </c>
      <c r="XFB7" s="38" t="s">
        <v>237</v>
      </c>
      <c r="XFC7" s="38" t="s">
        <v>204</v>
      </c>
    </row>
    <row r="8" spans="1:51 16380:16383" ht="15" customHeight="1" x14ac:dyDescent="0.3">
      <c r="A8" s="7" t="s">
        <v>86</v>
      </c>
      <c r="B8" s="8" t="s">
        <v>51</v>
      </c>
      <c r="C8" s="9">
        <v>44562</v>
      </c>
      <c r="D8" s="9">
        <v>44592</v>
      </c>
      <c r="E8" s="10" t="s">
        <v>52</v>
      </c>
      <c r="F8" s="32" t="s">
        <v>62</v>
      </c>
      <c r="G8" s="8" t="s">
        <v>63</v>
      </c>
      <c r="H8" s="12" t="s">
        <v>55</v>
      </c>
      <c r="I8" s="13" t="s">
        <v>248</v>
      </c>
      <c r="J8" s="14" t="s">
        <v>243</v>
      </c>
      <c r="K8" s="15">
        <v>4700000</v>
      </c>
      <c r="L8" s="16">
        <v>0.5</v>
      </c>
      <c r="M8" s="16">
        <f t="shared" si="0"/>
        <v>1.2833463829787235</v>
      </c>
      <c r="N8" s="17">
        <f>M8/L8</f>
        <v>2.566692765957447</v>
      </c>
      <c r="O8" s="18">
        <v>2350000</v>
      </c>
      <c r="P8" s="18">
        <v>6031728</v>
      </c>
      <c r="Q8" s="17">
        <f>P8/O8</f>
        <v>2.566692765957447</v>
      </c>
      <c r="R8" s="12">
        <v>3.12</v>
      </c>
      <c r="S8" s="19">
        <f>V8/P8</f>
        <v>1.874103905215885</v>
      </c>
      <c r="T8" s="17">
        <f>S8/R8</f>
        <v>0.60067432859483494</v>
      </c>
      <c r="U8" s="18">
        <v>7332000</v>
      </c>
      <c r="V8" s="18">
        <v>11304085</v>
      </c>
      <c r="W8" s="17">
        <f>V8/U8</f>
        <v>1.5417464539007093</v>
      </c>
      <c r="X8" s="18">
        <v>36660</v>
      </c>
      <c r="Y8" s="18">
        <v>57280</v>
      </c>
      <c r="Z8" s="17">
        <f>Y8/X8</f>
        <v>1.5624659028914347</v>
      </c>
      <c r="AA8" s="20">
        <v>5.0000000000000001E-3</v>
      </c>
      <c r="AB8" s="20">
        <f>Y8/V8</f>
        <v>5.06719473535452E-3</v>
      </c>
      <c r="AC8" s="17">
        <f>AB8/AA8</f>
        <v>1.013438947070904</v>
      </c>
      <c r="AD8" s="18">
        <v>4032600.0000000005</v>
      </c>
      <c r="AE8" s="18">
        <v>6366765</v>
      </c>
      <c r="AF8" s="17">
        <f>AE8/AD8</f>
        <v>1.5788238357387292</v>
      </c>
      <c r="AG8" s="16">
        <v>0.55000000000000004</v>
      </c>
      <c r="AH8" s="16">
        <f>AE8/V8</f>
        <v>0.56322692194901225</v>
      </c>
      <c r="AI8" s="17">
        <f>AH8/AG8</f>
        <v>1.0240489489982041</v>
      </c>
      <c r="AJ8" s="21" t="s">
        <v>56</v>
      </c>
      <c r="AK8" s="22">
        <v>90</v>
      </c>
      <c r="AL8" s="22">
        <f>AO8/V8*1000</f>
        <v>74.461239020761084</v>
      </c>
      <c r="AM8" s="17">
        <f>AL8/AK8</f>
        <v>0.8273471002306787</v>
      </c>
      <c r="AN8" s="18">
        <v>659880</v>
      </c>
      <c r="AO8" s="18">
        <v>841716.17509600008</v>
      </c>
      <c r="AP8" s="17">
        <f>AO8/AN8</f>
        <v>1.2755594579256835</v>
      </c>
      <c r="AQ8" s="23">
        <v>3.4999999999999976E-2</v>
      </c>
      <c r="AR8" s="23">
        <f t="shared" si="17"/>
        <v>3.5000000036401725E-2</v>
      </c>
      <c r="AS8" s="17">
        <f t="shared" si="1"/>
        <v>1.00000000104005</v>
      </c>
      <c r="AT8" s="24">
        <v>23095.79999999993</v>
      </c>
      <c r="AU8" s="24">
        <f>AX8-AO8</f>
        <v>29460.066158999922</v>
      </c>
      <c r="AV8" s="17">
        <f t="shared" si="2"/>
        <v>1.2755594592523321</v>
      </c>
      <c r="AW8" s="18">
        <v>682975.79999999993</v>
      </c>
      <c r="AX8" s="18">
        <v>871176.241255</v>
      </c>
      <c r="AY8" s="17">
        <f>AX8/AW8</f>
        <v>1.275559457970546</v>
      </c>
      <c r="XEZ8" s="38" t="s">
        <v>92</v>
      </c>
      <c r="XFB8" s="38" t="s">
        <v>238</v>
      </c>
      <c r="XFC8" s="38" t="s">
        <v>205</v>
      </c>
    </row>
    <row r="9" spans="1:51 16380:16383" ht="15" customHeight="1" x14ac:dyDescent="0.3">
      <c r="A9" s="7" t="s">
        <v>86</v>
      </c>
      <c r="B9" s="8" t="s">
        <v>51</v>
      </c>
      <c r="C9" s="9">
        <v>44562</v>
      </c>
      <c r="D9" s="9">
        <v>44592</v>
      </c>
      <c r="E9" s="10" t="s">
        <v>52</v>
      </c>
      <c r="F9" s="32" t="s">
        <v>62</v>
      </c>
      <c r="G9" s="8" t="s">
        <v>64</v>
      </c>
      <c r="H9" s="12" t="s">
        <v>55</v>
      </c>
      <c r="I9" s="13" t="s">
        <v>248</v>
      </c>
      <c r="J9" s="14" t="s">
        <v>243</v>
      </c>
      <c r="K9" s="15">
        <v>8160000</v>
      </c>
      <c r="L9" s="16">
        <v>0.5</v>
      </c>
      <c r="M9" s="16">
        <f t="shared" si="0"/>
        <v>0.88545367647058826</v>
      </c>
      <c r="N9" s="17">
        <f t="shared" ref="N9:N34" si="20">M9/L9</f>
        <v>1.7709073529411765</v>
      </c>
      <c r="O9" s="18">
        <v>4080000</v>
      </c>
      <c r="P9" s="18">
        <v>7225302</v>
      </c>
      <c r="Q9" s="17">
        <f t="shared" ref="Q9:Q34" si="21">P9/O9</f>
        <v>1.7709073529411765</v>
      </c>
      <c r="R9" s="12">
        <v>3.12</v>
      </c>
      <c r="S9" s="19">
        <f t="shared" ref="S9:S34" si="22">V9/P9</f>
        <v>1.7665408310960566</v>
      </c>
      <c r="T9" s="17">
        <f t="shared" ref="T9:T34" si="23">S9/R9</f>
        <v>0.56619898432565918</v>
      </c>
      <c r="U9" s="18">
        <v>12729600</v>
      </c>
      <c r="V9" s="18">
        <v>12763791</v>
      </c>
      <c r="W9" s="17">
        <f t="shared" ref="W9:W34" si="24">V9/U9</f>
        <v>1.0026859445701357</v>
      </c>
      <c r="X9" s="18">
        <v>63648</v>
      </c>
      <c r="Y9" s="18">
        <v>63187</v>
      </c>
      <c r="Z9" s="17">
        <f t="shared" ref="Z9:Z34" si="25">Y9/X9</f>
        <v>0.99275703871292109</v>
      </c>
      <c r="AA9" s="20">
        <v>5.0000000000000001E-3</v>
      </c>
      <c r="AB9" s="20">
        <f t="shared" ref="AB9:AB34" si="26">Y9/V9</f>
        <v>4.9504884559767549E-3</v>
      </c>
      <c r="AC9" s="17">
        <f t="shared" ref="AC9:AC34" si="27">AB9/AA9</f>
        <v>0.99009769119535096</v>
      </c>
      <c r="AD9" s="18">
        <v>7001280.0000000009</v>
      </c>
      <c r="AE9" s="18">
        <v>8055683</v>
      </c>
      <c r="AF9" s="17">
        <f t="shared" ref="AF9:AF34" si="28">AE9/AD9</f>
        <v>1.1506014614470494</v>
      </c>
      <c r="AG9" s="16">
        <v>0.55000000000000004</v>
      </c>
      <c r="AH9" s="16">
        <f t="shared" ref="AH9:AH34" si="29">AE9/V9</f>
        <v>0.63113560853511308</v>
      </c>
      <c r="AI9" s="17">
        <f t="shared" ref="AI9:AI34" si="30">AH9/AG9</f>
        <v>1.14751928824566</v>
      </c>
      <c r="AJ9" s="21" t="s">
        <v>56</v>
      </c>
      <c r="AK9" s="22">
        <v>90</v>
      </c>
      <c r="AL9" s="22">
        <f t="shared" ref="AL9:AL34" si="31">AO9/V9*1000</f>
        <v>70.501428831528187</v>
      </c>
      <c r="AM9" s="17">
        <f t="shared" ref="AM9:AM34" si="32">AL9/AK9</f>
        <v>0.78334920923920204</v>
      </c>
      <c r="AN9" s="18">
        <v>1145664</v>
      </c>
      <c r="AO9" s="18">
        <v>899865.50280699995</v>
      </c>
      <c r="AP9" s="17">
        <f t="shared" ref="AP9:AP34" si="33">AO9/AN9</f>
        <v>0.78545324179427822</v>
      </c>
      <c r="AQ9" s="23">
        <v>3.4999999999999976E-2</v>
      </c>
      <c r="AR9" s="23">
        <f t="shared" si="17"/>
        <v>3.4999999954165445E-2</v>
      </c>
      <c r="AS9" s="17">
        <f t="shared" si="1"/>
        <v>0.99999999869044198</v>
      </c>
      <c r="AT9" s="24">
        <v>40098.239999999991</v>
      </c>
      <c r="AU9" s="24">
        <f t="shared" ref="AU9:AU12" si="34">AX9-AO9</f>
        <v>31495.292557000066</v>
      </c>
      <c r="AV9" s="17">
        <f t="shared" si="2"/>
        <v>0.78545324076568135</v>
      </c>
      <c r="AW9" s="18">
        <v>1185762.24</v>
      </c>
      <c r="AX9" s="18">
        <v>931360.79536400002</v>
      </c>
      <c r="AY9" s="17">
        <f t="shared" ref="AY9:AY34" si="35">AX9/AW9</f>
        <v>0.78545324175949471</v>
      </c>
      <c r="XEZ9" s="38" t="s">
        <v>93</v>
      </c>
      <c r="XFB9" s="38" t="s">
        <v>239</v>
      </c>
      <c r="XFC9" s="38" t="s">
        <v>206</v>
      </c>
    </row>
    <row r="10" spans="1:51 16380:16383" ht="15" customHeight="1" x14ac:dyDescent="0.3">
      <c r="A10" s="7" t="s">
        <v>86</v>
      </c>
      <c r="B10" s="8" t="s">
        <v>51</v>
      </c>
      <c r="C10" s="9">
        <v>44562</v>
      </c>
      <c r="D10" s="9">
        <v>44592</v>
      </c>
      <c r="E10" s="10" t="s">
        <v>52</v>
      </c>
      <c r="F10" s="32" t="s">
        <v>62</v>
      </c>
      <c r="G10" s="8" t="s">
        <v>65</v>
      </c>
      <c r="H10" s="12" t="s">
        <v>55</v>
      </c>
      <c r="I10" s="13" t="s">
        <v>248</v>
      </c>
      <c r="J10" s="14" t="s">
        <v>243</v>
      </c>
      <c r="K10" s="15">
        <v>1740000</v>
      </c>
      <c r="L10" s="16">
        <v>0.5</v>
      </c>
      <c r="M10" s="16">
        <f t="shared" si="0"/>
        <v>1.5122155172413794</v>
      </c>
      <c r="N10" s="17">
        <f t="shared" si="20"/>
        <v>3.0244310344827587</v>
      </c>
      <c r="O10" s="18">
        <v>870000</v>
      </c>
      <c r="P10" s="18">
        <v>2631255</v>
      </c>
      <c r="Q10" s="17">
        <f t="shared" si="21"/>
        <v>3.0244310344827587</v>
      </c>
      <c r="R10" s="12">
        <v>3.12</v>
      </c>
      <c r="S10" s="19">
        <f t="shared" si="22"/>
        <v>1.2183691812462114</v>
      </c>
      <c r="T10" s="17">
        <f t="shared" si="23"/>
        <v>0.39050294270711905</v>
      </c>
      <c r="U10" s="18">
        <v>2714400</v>
      </c>
      <c r="V10" s="18">
        <v>3205840</v>
      </c>
      <c r="W10" s="17">
        <f t="shared" si="24"/>
        <v>1.1810492189802535</v>
      </c>
      <c r="X10" s="18">
        <v>13572</v>
      </c>
      <c r="Y10" s="18">
        <v>13344</v>
      </c>
      <c r="Z10" s="17">
        <f t="shared" si="25"/>
        <v>0.9832007073386384</v>
      </c>
      <c r="AA10" s="20">
        <v>5.0000000000000001E-3</v>
      </c>
      <c r="AB10" s="20">
        <f t="shared" si="26"/>
        <v>4.162403613405535E-3</v>
      </c>
      <c r="AC10" s="17">
        <f t="shared" si="27"/>
        <v>0.83248072268110695</v>
      </c>
      <c r="AD10" s="18">
        <v>1492920.0000000002</v>
      </c>
      <c r="AE10" s="18">
        <v>2037358</v>
      </c>
      <c r="AF10" s="17">
        <f t="shared" si="28"/>
        <v>1.3646799560592662</v>
      </c>
      <c r="AG10" s="16">
        <v>0.55000000000000004</v>
      </c>
      <c r="AH10" s="16">
        <f t="shared" si="29"/>
        <v>0.63551456092630954</v>
      </c>
      <c r="AI10" s="17">
        <f t="shared" si="30"/>
        <v>1.1554810198660173</v>
      </c>
      <c r="AJ10" s="21" t="s">
        <v>56</v>
      </c>
      <c r="AK10" s="22">
        <v>90</v>
      </c>
      <c r="AL10" s="22">
        <f t="shared" si="31"/>
        <v>59.225601793913611</v>
      </c>
      <c r="AM10" s="17">
        <f t="shared" si="32"/>
        <v>0.65806224215459563</v>
      </c>
      <c r="AN10" s="18">
        <v>244296</v>
      </c>
      <c r="AO10" s="18">
        <v>189867.80325500001</v>
      </c>
      <c r="AP10" s="17">
        <f t="shared" si="33"/>
        <v>0.7772038971370796</v>
      </c>
      <c r="AQ10" s="23">
        <v>3.4999999999999976E-2</v>
      </c>
      <c r="AR10" s="23">
        <f t="shared" si="17"/>
        <v>3.4999999852923867E-2</v>
      </c>
      <c r="AS10" s="17">
        <f t="shared" si="1"/>
        <v>0.9999999957978255</v>
      </c>
      <c r="AT10" s="24">
        <v>8550.359999999986</v>
      </c>
      <c r="AU10" s="24">
        <f t="shared" si="34"/>
        <v>6645.3730859999778</v>
      </c>
      <c r="AV10" s="17">
        <f t="shared" si="2"/>
        <v>0.77720389387113387</v>
      </c>
      <c r="AW10" s="18">
        <v>252846.36</v>
      </c>
      <c r="AX10" s="18">
        <v>196513.17634099998</v>
      </c>
      <c r="AY10" s="17">
        <f t="shared" si="35"/>
        <v>0.77720389702663706</v>
      </c>
      <c r="XEZ10" s="38" t="s">
        <v>94</v>
      </c>
      <c r="XFB10" s="38" t="s">
        <v>240</v>
      </c>
      <c r="XFC10" s="38" t="s">
        <v>207</v>
      </c>
    </row>
    <row r="11" spans="1:51 16380:16383" ht="15" customHeight="1" x14ac:dyDescent="0.3">
      <c r="A11" s="7" t="s">
        <v>86</v>
      </c>
      <c r="B11" s="8" t="s">
        <v>51</v>
      </c>
      <c r="C11" s="9">
        <v>44562</v>
      </c>
      <c r="D11" s="9">
        <v>44592</v>
      </c>
      <c r="E11" s="10" t="s">
        <v>52</v>
      </c>
      <c r="F11" s="32" t="s">
        <v>62</v>
      </c>
      <c r="G11" s="8" t="s">
        <v>66</v>
      </c>
      <c r="H11" s="12" t="s">
        <v>55</v>
      </c>
      <c r="I11" s="13" t="s">
        <v>248</v>
      </c>
      <c r="J11" s="14" t="s">
        <v>243</v>
      </c>
      <c r="K11" s="15">
        <v>1150000</v>
      </c>
      <c r="L11" s="16">
        <v>0.5</v>
      </c>
      <c r="M11" s="16">
        <f t="shared" si="0"/>
        <v>1.4204652173913044</v>
      </c>
      <c r="N11" s="17">
        <f t="shared" si="20"/>
        <v>2.8409304347826088</v>
      </c>
      <c r="O11" s="18">
        <v>575000</v>
      </c>
      <c r="P11" s="18">
        <v>1633535</v>
      </c>
      <c r="Q11" s="17">
        <f t="shared" si="21"/>
        <v>2.8409304347826088</v>
      </c>
      <c r="R11" s="12">
        <v>3.12</v>
      </c>
      <c r="S11" s="19">
        <f t="shared" si="22"/>
        <v>1.6211577958231689</v>
      </c>
      <c r="T11" s="17">
        <f t="shared" si="23"/>
        <v>0.51960185763563105</v>
      </c>
      <c r="U11" s="18">
        <v>1794000</v>
      </c>
      <c r="V11" s="18">
        <v>2648218</v>
      </c>
      <c r="W11" s="17">
        <f t="shared" si="24"/>
        <v>1.4761527313266443</v>
      </c>
      <c r="X11" s="18">
        <v>8970</v>
      </c>
      <c r="Y11" s="18">
        <v>9915</v>
      </c>
      <c r="Z11" s="17">
        <f t="shared" si="25"/>
        <v>1.1053511705685619</v>
      </c>
      <c r="AA11" s="20">
        <v>5.0000000000000001E-3</v>
      </c>
      <c r="AB11" s="20">
        <f t="shared" si="26"/>
        <v>3.7440271155924475E-3</v>
      </c>
      <c r="AC11" s="17">
        <f t="shared" si="27"/>
        <v>0.74880542311848952</v>
      </c>
      <c r="AD11" s="18">
        <v>986700.00000000012</v>
      </c>
      <c r="AE11" s="18">
        <v>2401171</v>
      </c>
      <c r="AF11" s="17">
        <f t="shared" si="28"/>
        <v>2.4335370426674769</v>
      </c>
      <c r="AG11" s="16">
        <v>0.55000000000000004</v>
      </c>
      <c r="AH11" s="16">
        <f t="shared" si="29"/>
        <v>0.90671198519155149</v>
      </c>
      <c r="AI11" s="17">
        <f t="shared" si="30"/>
        <v>1.6485672458028207</v>
      </c>
      <c r="AJ11" s="21" t="s">
        <v>56</v>
      </c>
      <c r="AK11" s="22">
        <v>90</v>
      </c>
      <c r="AL11" s="22">
        <f t="shared" si="31"/>
        <v>47.252866272338608</v>
      </c>
      <c r="AM11" s="17">
        <f t="shared" si="32"/>
        <v>0.52503184747042897</v>
      </c>
      <c r="AN11" s="18">
        <v>161460</v>
      </c>
      <c r="AO11" s="18">
        <v>125135.89101400001</v>
      </c>
      <c r="AP11" s="17">
        <f t="shared" si="33"/>
        <v>0.77502719567694789</v>
      </c>
      <c r="AQ11" s="23">
        <v>3.4999999999999976E-2</v>
      </c>
      <c r="AR11" s="23">
        <f t="shared" si="17"/>
        <v>3.4999997494803418E-2</v>
      </c>
      <c r="AS11" s="17">
        <f t="shared" si="1"/>
        <v>0.99999992842295549</v>
      </c>
      <c r="AT11" s="24">
        <v>5651.0999999999767</v>
      </c>
      <c r="AU11" s="24">
        <f t="shared" si="34"/>
        <v>4379.7558719999943</v>
      </c>
      <c r="AV11" s="17">
        <f t="shared" si="2"/>
        <v>0.77502714020279451</v>
      </c>
      <c r="AW11" s="18">
        <v>167111.09999999998</v>
      </c>
      <c r="AX11" s="18">
        <v>129515.646886</v>
      </c>
      <c r="AY11" s="17">
        <f t="shared" si="35"/>
        <v>0.77502719380101037</v>
      </c>
      <c r="XEZ11" s="38" t="s">
        <v>95</v>
      </c>
      <c r="XFB11" s="38" t="s">
        <v>241</v>
      </c>
      <c r="XFC11" s="38" t="s">
        <v>208</v>
      </c>
    </row>
    <row r="12" spans="1:51 16380:16383" ht="15" customHeight="1" x14ac:dyDescent="0.3">
      <c r="A12" s="7" t="s">
        <v>86</v>
      </c>
      <c r="B12" s="8" t="s">
        <v>51</v>
      </c>
      <c r="C12" s="9">
        <v>44562</v>
      </c>
      <c r="D12" s="9">
        <v>44592</v>
      </c>
      <c r="E12" s="10" t="s">
        <v>52</v>
      </c>
      <c r="F12" s="32" t="s">
        <v>62</v>
      </c>
      <c r="G12" s="8" t="s">
        <v>67</v>
      </c>
      <c r="H12" s="12" t="s">
        <v>55</v>
      </c>
      <c r="I12" s="13" t="s">
        <v>248</v>
      </c>
      <c r="J12" s="14" t="s">
        <v>243</v>
      </c>
      <c r="K12" s="15">
        <v>1720000</v>
      </c>
      <c r="L12" s="16">
        <v>0.5</v>
      </c>
      <c r="M12" s="16">
        <f t="shared" si="0"/>
        <v>1.0343313953488371</v>
      </c>
      <c r="N12" s="17">
        <f t="shared" si="20"/>
        <v>2.0686627906976742</v>
      </c>
      <c r="O12" s="18">
        <v>860000</v>
      </c>
      <c r="P12" s="18">
        <v>1779050</v>
      </c>
      <c r="Q12" s="17">
        <f t="shared" si="21"/>
        <v>2.0686627906976742</v>
      </c>
      <c r="R12" s="12">
        <v>3.12</v>
      </c>
      <c r="S12" s="19">
        <f t="shared" si="22"/>
        <v>1.7054326747421376</v>
      </c>
      <c r="T12" s="17">
        <f t="shared" si="23"/>
        <v>0.54661303677632611</v>
      </c>
      <c r="U12" s="18">
        <v>2683200</v>
      </c>
      <c r="V12" s="18">
        <v>3034050</v>
      </c>
      <c r="W12" s="17">
        <f t="shared" si="24"/>
        <v>1.1307580500894454</v>
      </c>
      <c r="X12" s="18">
        <v>13416</v>
      </c>
      <c r="Y12" s="18">
        <v>14384</v>
      </c>
      <c r="Z12" s="17">
        <f t="shared" si="25"/>
        <v>1.0721526535480024</v>
      </c>
      <c r="AA12" s="20">
        <v>5.0000000000000001E-3</v>
      </c>
      <c r="AB12" s="20">
        <f t="shared" si="26"/>
        <v>4.740857929170581E-3</v>
      </c>
      <c r="AC12" s="17">
        <f t="shared" si="27"/>
        <v>0.9481715858341162</v>
      </c>
      <c r="AD12" s="18">
        <v>1475760.0000000002</v>
      </c>
      <c r="AE12" s="18">
        <v>2094549</v>
      </c>
      <c r="AF12" s="17">
        <f t="shared" si="28"/>
        <v>1.419301919011221</v>
      </c>
      <c r="AG12" s="16">
        <v>0.55000000000000004</v>
      </c>
      <c r="AH12" s="16">
        <f t="shared" si="29"/>
        <v>0.6903475552479359</v>
      </c>
      <c r="AI12" s="17">
        <f t="shared" si="30"/>
        <v>1.2551773731780651</v>
      </c>
      <c r="AJ12" s="21" t="s">
        <v>56</v>
      </c>
      <c r="AK12" s="22">
        <v>90</v>
      </c>
      <c r="AL12" s="22">
        <f t="shared" si="31"/>
        <v>62.354700537235715</v>
      </c>
      <c r="AM12" s="17">
        <f t="shared" si="32"/>
        <v>0.69283000596928568</v>
      </c>
      <c r="AN12" s="18">
        <v>241488</v>
      </c>
      <c r="AO12" s="18">
        <v>189187.27916500001</v>
      </c>
      <c r="AP12" s="17">
        <f t="shared" si="33"/>
        <v>0.78342310659328829</v>
      </c>
      <c r="AQ12" s="23">
        <v>3.4999999999999976E-2</v>
      </c>
      <c r="AR12" s="23">
        <f t="shared" si="17"/>
        <v>3.4999999974760387E-2</v>
      </c>
      <c r="AS12" s="17">
        <f t="shared" si="1"/>
        <v>0.99999999927886896</v>
      </c>
      <c r="AT12" s="24">
        <v>8452.0799999999872</v>
      </c>
      <c r="AU12" s="24">
        <f t="shared" si="34"/>
        <v>6621.5547659999866</v>
      </c>
      <c r="AV12" s="17">
        <f t="shared" si="2"/>
        <v>0.7834231060283382</v>
      </c>
      <c r="AW12" s="18">
        <v>249940.08</v>
      </c>
      <c r="AX12" s="18">
        <v>195808.833931</v>
      </c>
      <c r="AY12" s="17">
        <f t="shared" si="35"/>
        <v>0.78342310657418379</v>
      </c>
      <c r="XEZ12" s="38" t="s">
        <v>96</v>
      </c>
      <c r="XFB12" s="38" t="s">
        <v>242</v>
      </c>
      <c r="XFC12" s="38" t="s">
        <v>209</v>
      </c>
    </row>
    <row r="13" spans="1:51 16380:16383" ht="15" customHeight="1" x14ac:dyDescent="0.3">
      <c r="A13" s="7" t="s">
        <v>86</v>
      </c>
      <c r="B13" s="8" t="s">
        <v>51</v>
      </c>
      <c r="C13" s="9">
        <v>44562</v>
      </c>
      <c r="D13" s="9">
        <v>44592</v>
      </c>
      <c r="E13" s="10" t="s">
        <v>52</v>
      </c>
      <c r="F13" s="33" t="s">
        <v>68</v>
      </c>
      <c r="G13" s="34" t="s">
        <v>69</v>
      </c>
      <c r="H13" s="12" t="s">
        <v>55</v>
      </c>
      <c r="I13" s="13" t="s">
        <v>248</v>
      </c>
      <c r="J13" s="14" t="s">
        <v>243</v>
      </c>
      <c r="K13" s="35">
        <v>7900000</v>
      </c>
      <c r="L13" s="16">
        <v>0.7</v>
      </c>
      <c r="M13" s="16">
        <f t="shared" si="0"/>
        <v>0.70045632911392408</v>
      </c>
      <c r="N13" s="17">
        <f t="shared" si="20"/>
        <v>1.0006518987341773</v>
      </c>
      <c r="O13" s="18">
        <v>5530000</v>
      </c>
      <c r="P13" s="18">
        <v>5533605</v>
      </c>
      <c r="Q13" s="17">
        <f t="shared" si="21"/>
        <v>1.0006518987341773</v>
      </c>
      <c r="R13" s="12">
        <v>2</v>
      </c>
      <c r="S13" s="19">
        <f t="shared" si="22"/>
        <v>1.9062410490087385</v>
      </c>
      <c r="T13" s="17">
        <f t="shared" si="23"/>
        <v>0.95312052450436924</v>
      </c>
      <c r="U13" s="18">
        <v>11060000</v>
      </c>
      <c r="V13" s="18">
        <v>10548385</v>
      </c>
      <c r="W13" s="17">
        <f t="shared" si="24"/>
        <v>0.9537418625678119</v>
      </c>
      <c r="X13" s="18" t="s">
        <v>70</v>
      </c>
      <c r="Y13" s="18" t="s">
        <v>70</v>
      </c>
      <c r="Z13" s="17" t="s">
        <v>70</v>
      </c>
      <c r="AA13" s="20" t="s">
        <v>70</v>
      </c>
      <c r="AB13" s="20" t="s">
        <v>70</v>
      </c>
      <c r="AC13" s="17" t="s">
        <v>70</v>
      </c>
      <c r="AD13" s="18">
        <v>8295000</v>
      </c>
      <c r="AE13" s="18">
        <v>6144250</v>
      </c>
      <c r="AF13" s="17">
        <f t="shared" si="28"/>
        <v>0.7407172995780591</v>
      </c>
      <c r="AG13" s="16">
        <v>0.75</v>
      </c>
      <c r="AH13" s="16">
        <f t="shared" si="29"/>
        <v>0.58248253168613018</v>
      </c>
      <c r="AI13" s="17">
        <f t="shared" si="30"/>
        <v>0.77664337558150687</v>
      </c>
      <c r="AJ13" s="21" t="s">
        <v>71</v>
      </c>
      <c r="AK13" s="22">
        <v>90</v>
      </c>
      <c r="AL13" s="22">
        <f t="shared" si="31"/>
        <v>74.321959398239628</v>
      </c>
      <c r="AM13" s="17">
        <f t="shared" si="32"/>
        <v>0.82579954886932916</v>
      </c>
      <c r="AN13" s="18">
        <v>995400</v>
      </c>
      <c r="AO13" s="18">
        <v>783976.64168699994</v>
      </c>
      <c r="AP13" s="17">
        <f t="shared" si="33"/>
        <v>0.78759959984629291</v>
      </c>
      <c r="AQ13" s="23">
        <v>3.4999999999999976E-2</v>
      </c>
      <c r="AR13" s="23">
        <f t="shared" si="17"/>
        <v>3.4999999980809424E-2</v>
      </c>
      <c r="AS13" s="17">
        <f t="shared" si="1"/>
        <v>0.99999999945169848</v>
      </c>
      <c r="AT13" s="24">
        <v>34838.999999999884</v>
      </c>
      <c r="AU13" s="24">
        <f>AX13-AO13</f>
        <v>27439.182444000035</v>
      </c>
      <c r="AV13" s="17">
        <f t="shared" si="2"/>
        <v>0.7875995994144529</v>
      </c>
      <c r="AW13" s="18">
        <v>1030238.9999999999</v>
      </c>
      <c r="AX13" s="18">
        <v>811415.82413099997</v>
      </c>
      <c r="AY13" s="17">
        <f t="shared" si="35"/>
        <v>0.78759959983168959</v>
      </c>
      <c r="XEZ13" s="38" t="s">
        <v>97</v>
      </c>
      <c r="XFC13" s="38" t="s">
        <v>210</v>
      </c>
    </row>
    <row r="14" spans="1:51 16380:16383" ht="15" customHeight="1" x14ac:dyDescent="0.3">
      <c r="A14" s="7" t="s">
        <v>86</v>
      </c>
      <c r="B14" s="8" t="s">
        <v>51</v>
      </c>
      <c r="C14" s="9">
        <v>44562</v>
      </c>
      <c r="D14" s="9">
        <v>44592</v>
      </c>
      <c r="E14" s="10" t="s">
        <v>52</v>
      </c>
      <c r="F14" s="33" t="s">
        <v>68</v>
      </c>
      <c r="G14" s="34" t="s">
        <v>72</v>
      </c>
      <c r="H14" s="12" t="s">
        <v>55</v>
      </c>
      <c r="I14" s="13" t="s">
        <v>248</v>
      </c>
      <c r="J14" s="14" t="s">
        <v>243</v>
      </c>
      <c r="K14" s="35">
        <v>680000</v>
      </c>
      <c r="L14" s="16">
        <v>0.7</v>
      </c>
      <c r="M14" s="16">
        <f t="shared" si="0"/>
        <v>0.65509705882352942</v>
      </c>
      <c r="N14" s="17">
        <f t="shared" si="20"/>
        <v>0.93585294117647067</v>
      </c>
      <c r="O14" s="18">
        <v>475999.99999999994</v>
      </c>
      <c r="P14" s="18">
        <v>445466</v>
      </c>
      <c r="Q14" s="17">
        <f t="shared" si="21"/>
        <v>0.93585294117647067</v>
      </c>
      <c r="R14" s="12">
        <v>2</v>
      </c>
      <c r="S14" s="19">
        <f t="shared" si="22"/>
        <v>1.7916676020167646</v>
      </c>
      <c r="T14" s="17">
        <f t="shared" si="23"/>
        <v>0.89583380100838228</v>
      </c>
      <c r="U14" s="18">
        <v>951999.99999999988</v>
      </c>
      <c r="V14" s="18">
        <v>798127</v>
      </c>
      <c r="W14" s="17">
        <f t="shared" si="24"/>
        <v>0.83836869747899168</v>
      </c>
      <c r="X14" s="18" t="s">
        <v>70</v>
      </c>
      <c r="Y14" s="18" t="s">
        <v>70</v>
      </c>
      <c r="Z14" s="17" t="s">
        <v>70</v>
      </c>
      <c r="AA14" s="20" t="s">
        <v>70</v>
      </c>
      <c r="AB14" s="20" t="s">
        <v>70</v>
      </c>
      <c r="AC14" s="17" t="s">
        <v>70</v>
      </c>
      <c r="AD14" s="18">
        <v>713999.99999999988</v>
      </c>
      <c r="AE14" s="18">
        <v>404275</v>
      </c>
      <c r="AF14" s="17">
        <f t="shared" si="28"/>
        <v>0.56621148459383763</v>
      </c>
      <c r="AG14" s="16">
        <v>0.75</v>
      </c>
      <c r="AH14" s="16">
        <f t="shared" si="29"/>
        <v>0.50652966257249787</v>
      </c>
      <c r="AI14" s="17">
        <f t="shared" si="30"/>
        <v>0.67537288342999713</v>
      </c>
      <c r="AJ14" s="21" t="s">
        <v>71</v>
      </c>
      <c r="AK14" s="22">
        <v>90</v>
      </c>
      <c r="AL14" s="22">
        <f t="shared" si="31"/>
        <v>76.146990515293936</v>
      </c>
      <c r="AM14" s="17">
        <f t="shared" si="32"/>
        <v>0.84607767239215481</v>
      </c>
      <c r="AN14" s="18">
        <v>85679.999999999985</v>
      </c>
      <c r="AO14" s="18">
        <v>60774.969099000002</v>
      </c>
      <c r="AP14" s="17">
        <f t="shared" si="33"/>
        <v>0.70932503616946796</v>
      </c>
      <c r="AQ14" s="23">
        <v>3.4999999999999976E-2</v>
      </c>
      <c r="AR14" s="23">
        <f t="shared" si="17"/>
        <v>3.4999999959440482E-2</v>
      </c>
      <c r="AS14" s="17">
        <f t="shared" si="1"/>
        <v>0.99999999884115731</v>
      </c>
      <c r="AT14" s="24">
        <v>2998.7999999999884</v>
      </c>
      <c r="AU14" s="24">
        <f t="shared" ref="AU14:AU15" si="36">AX14-AO14</f>
        <v>2127.1239159999968</v>
      </c>
      <c r="AV14" s="17">
        <f t="shared" si="2"/>
        <v>0.70932503534747404</v>
      </c>
      <c r="AW14" s="18">
        <v>88678.799999999974</v>
      </c>
      <c r="AX14" s="18">
        <v>62902.093014999999</v>
      </c>
      <c r="AY14" s="17">
        <f t="shared" si="35"/>
        <v>0.70932503614167108</v>
      </c>
      <c r="XEZ14" s="38" t="s">
        <v>98</v>
      </c>
      <c r="XFC14" s="38" t="s">
        <v>211</v>
      </c>
    </row>
    <row r="15" spans="1:51 16380:16383" ht="15" customHeight="1" x14ac:dyDescent="0.3">
      <c r="A15" s="7" t="s">
        <v>86</v>
      </c>
      <c r="B15" s="8" t="s">
        <v>51</v>
      </c>
      <c r="C15" s="9">
        <v>44562</v>
      </c>
      <c r="D15" s="9">
        <v>44592</v>
      </c>
      <c r="E15" s="10" t="s">
        <v>52</v>
      </c>
      <c r="F15" s="33" t="s">
        <v>53</v>
      </c>
      <c r="G15" s="34" t="s">
        <v>73</v>
      </c>
      <c r="H15" s="12" t="s">
        <v>55</v>
      </c>
      <c r="I15" s="13" t="s">
        <v>248</v>
      </c>
      <c r="J15" s="14" t="s">
        <v>243</v>
      </c>
      <c r="K15" s="35">
        <v>9927000</v>
      </c>
      <c r="L15" s="16">
        <v>0.6</v>
      </c>
      <c r="M15" s="16">
        <f t="shared" si="0"/>
        <v>1.0340138007454418</v>
      </c>
      <c r="N15" s="17">
        <f t="shared" si="20"/>
        <v>1.7233563345757363</v>
      </c>
      <c r="O15" s="18">
        <v>5956200</v>
      </c>
      <c r="P15" s="18">
        <v>10264655</v>
      </c>
      <c r="Q15" s="17">
        <f t="shared" si="21"/>
        <v>1.7233563345757361</v>
      </c>
      <c r="R15" s="12">
        <v>3.12</v>
      </c>
      <c r="S15" s="19">
        <f t="shared" si="22"/>
        <v>2.1816715710367274</v>
      </c>
      <c r="T15" s="17">
        <f t="shared" si="23"/>
        <v>0.69925370866561776</v>
      </c>
      <c r="U15" s="18">
        <v>18583344</v>
      </c>
      <c r="V15" s="18">
        <v>22394106</v>
      </c>
      <c r="W15" s="17">
        <f t="shared" si="24"/>
        <v>1.2050633083044688</v>
      </c>
      <c r="X15" s="18">
        <v>92916.72</v>
      </c>
      <c r="Y15" s="18">
        <v>101083</v>
      </c>
      <c r="Z15" s="17">
        <f t="shared" si="25"/>
        <v>1.0878881647996184</v>
      </c>
      <c r="AA15" s="20">
        <v>5.0000000000000001E-3</v>
      </c>
      <c r="AB15" s="20">
        <f t="shared" si="26"/>
        <v>4.5138216278872668E-3</v>
      </c>
      <c r="AC15" s="17">
        <f t="shared" si="27"/>
        <v>0.90276432557745334</v>
      </c>
      <c r="AD15" s="18">
        <v>9291672</v>
      </c>
      <c r="AE15" s="18">
        <v>11809536</v>
      </c>
      <c r="AF15" s="17">
        <f t="shared" si="28"/>
        <v>1.270980723383262</v>
      </c>
      <c r="AG15" s="16">
        <v>0.5</v>
      </c>
      <c r="AH15" s="16">
        <f t="shared" si="29"/>
        <v>0.52735018758953811</v>
      </c>
      <c r="AI15" s="17">
        <f t="shared" si="30"/>
        <v>1.0547003751790762</v>
      </c>
      <c r="AJ15" s="21" t="s">
        <v>71</v>
      </c>
      <c r="AK15" s="22">
        <v>86</v>
      </c>
      <c r="AL15" s="22">
        <f t="shared" si="31"/>
        <v>71.164282182910085</v>
      </c>
      <c r="AM15" s="17">
        <f t="shared" si="32"/>
        <v>0.82749165328965213</v>
      </c>
      <c r="AN15" s="18">
        <v>1598167.584</v>
      </c>
      <c r="AO15" s="18">
        <v>1593660.4786179999</v>
      </c>
      <c r="AP15" s="17">
        <f t="shared" si="33"/>
        <v>0.99717982930756277</v>
      </c>
      <c r="AQ15" s="23">
        <v>3.4999999999999976E-2</v>
      </c>
      <c r="AR15" s="23">
        <f t="shared" si="17"/>
        <v>3.4999999999604715E-2</v>
      </c>
      <c r="AS15" s="17">
        <f t="shared" si="1"/>
        <v>0.99999999998870681</v>
      </c>
      <c r="AT15" s="24">
        <v>55935.865439999849</v>
      </c>
      <c r="AU15" s="24">
        <f t="shared" si="36"/>
        <v>55778.116751000052</v>
      </c>
      <c r="AV15" s="17">
        <f t="shared" si="2"/>
        <v>0.99717982929630355</v>
      </c>
      <c r="AW15" s="18">
        <v>1654103.4494399999</v>
      </c>
      <c r="AX15" s="18">
        <v>1649438.595369</v>
      </c>
      <c r="AY15" s="17">
        <f t="shared" si="35"/>
        <v>0.99717982930718196</v>
      </c>
      <c r="XEZ15" s="38" t="s">
        <v>99</v>
      </c>
      <c r="XFC15" s="38" t="s">
        <v>212</v>
      </c>
    </row>
    <row r="16" spans="1:51 16380:16383" ht="15" customHeight="1" x14ac:dyDescent="0.3">
      <c r="A16" s="7" t="s">
        <v>108</v>
      </c>
      <c r="B16" s="8" t="s">
        <v>51</v>
      </c>
      <c r="C16" s="9">
        <v>44562</v>
      </c>
      <c r="D16" s="9">
        <v>44592</v>
      </c>
      <c r="E16" s="10" t="s">
        <v>74</v>
      </c>
      <c r="F16" s="33" t="s">
        <v>75</v>
      </c>
      <c r="G16" s="34" t="s">
        <v>76</v>
      </c>
      <c r="H16" s="34" t="s">
        <v>77</v>
      </c>
      <c r="I16" s="34" t="s">
        <v>249</v>
      </c>
      <c r="J16" s="14" t="s">
        <v>247</v>
      </c>
      <c r="K16" s="35">
        <v>320000</v>
      </c>
      <c r="L16" s="16">
        <v>0.7</v>
      </c>
      <c r="M16" s="16">
        <f t="shared" si="0"/>
        <v>0.362759375</v>
      </c>
      <c r="N16" s="17">
        <f t="shared" si="20"/>
        <v>0.5182276785714286</v>
      </c>
      <c r="O16" s="18">
        <v>224000</v>
      </c>
      <c r="P16" s="18">
        <v>116083</v>
      </c>
      <c r="Q16" s="17">
        <f t="shared" si="21"/>
        <v>0.5182276785714286</v>
      </c>
      <c r="R16" s="12">
        <v>7</v>
      </c>
      <c r="S16" s="12">
        <f t="shared" si="22"/>
        <v>11.129579697285562</v>
      </c>
      <c r="T16" s="17">
        <f t="shared" si="23"/>
        <v>1.5899399567550803</v>
      </c>
      <c r="U16" s="18">
        <v>1568000</v>
      </c>
      <c r="V16" s="18">
        <v>1291955</v>
      </c>
      <c r="W16" s="17">
        <f t="shared" si="24"/>
        <v>0.82395089285714285</v>
      </c>
      <c r="X16" s="18">
        <v>7840</v>
      </c>
      <c r="Y16" s="18">
        <v>11332</v>
      </c>
      <c r="Z16" s="17">
        <f t="shared" si="25"/>
        <v>1.4454081632653062</v>
      </c>
      <c r="AA16" s="20">
        <v>5.0000000000000001E-3</v>
      </c>
      <c r="AB16" s="20">
        <f t="shared" si="26"/>
        <v>8.7712033313853809E-3</v>
      </c>
      <c r="AC16" s="17">
        <f t="shared" si="27"/>
        <v>1.7542406662770762</v>
      </c>
      <c r="AD16" s="18" t="s">
        <v>70</v>
      </c>
      <c r="AE16" s="18" t="s">
        <v>70</v>
      </c>
      <c r="AF16" s="17" t="s">
        <v>70</v>
      </c>
      <c r="AG16" s="16" t="s">
        <v>70</v>
      </c>
      <c r="AH16" s="16" t="s">
        <v>70</v>
      </c>
      <c r="AI16" s="17" t="s">
        <v>70</v>
      </c>
      <c r="AJ16" s="21" t="s">
        <v>78</v>
      </c>
      <c r="AK16" s="22">
        <v>5</v>
      </c>
      <c r="AL16" s="22">
        <f>AO16/Y16</f>
        <v>3.4592304977056125</v>
      </c>
      <c r="AM16" s="17">
        <f t="shared" si="32"/>
        <v>0.69184609954112253</v>
      </c>
      <c r="AN16" s="18">
        <v>39200</v>
      </c>
      <c r="AO16" s="18">
        <v>39200</v>
      </c>
      <c r="AP16" s="17">
        <f t="shared" si="33"/>
        <v>1</v>
      </c>
      <c r="AQ16" s="34" t="s">
        <v>70</v>
      </c>
      <c r="AR16" s="34" t="s">
        <v>70</v>
      </c>
      <c r="AS16" s="34" t="s">
        <v>70</v>
      </c>
      <c r="AT16" s="34" t="s">
        <v>70</v>
      </c>
      <c r="AU16" s="34" t="s">
        <v>70</v>
      </c>
      <c r="AV16" s="34" t="s">
        <v>70</v>
      </c>
      <c r="AW16" s="18">
        <v>39200</v>
      </c>
      <c r="AX16" s="18">
        <f>AO16</f>
        <v>39200</v>
      </c>
      <c r="AY16" s="17">
        <f t="shared" si="35"/>
        <v>1</v>
      </c>
      <c r="XEZ16" s="38" t="s">
        <v>100</v>
      </c>
      <c r="XFC16" s="38" t="s">
        <v>213</v>
      </c>
    </row>
    <row r="17" spans="1:51 16380:16383" ht="15" customHeight="1" x14ac:dyDescent="0.3">
      <c r="A17" s="7" t="s">
        <v>107</v>
      </c>
      <c r="B17" s="8" t="s">
        <v>51</v>
      </c>
      <c r="C17" s="9">
        <v>44562</v>
      </c>
      <c r="D17" s="9">
        <v>44592</v>
      </c>
      <c r="E17" s="10" t="s">
        <v>74</v>
      </c>
      <c r="F17" s="33" t="s">
        <v>79</v>
      </c>
      <c r="G17" s="34" t="s">
        <v>80</v>
      </c>
      <c r="H17" s="34" t="s">
        <v>55</v>
      </c>
      <c r="I17" s="34" t="s">
        <v>236</v>
      </c>
      <c r="J17" s="14" t="s">
        <v>219</v>
      </c>
      <c r="K17" s="35">
        <v>5100000</v>
      </c>
      <c r="L17" s="16">
        <v>0.7</v>
      </c>
      <c r="M17" s="16">
        <f t="shared" si="0"/>
        <v>0.62645392156862745</v>
      </c>
      <c r="N17" s="17">
        <f t="shared" si="20"/>
        <v>0.89493417366946781</v>
      </c>
      <c r="O17" s="18">
        <v>3570000</v>
      </c>
      <c r="P17" s="18">
        <v>3194915</v>
      </c>
      <c r="Q17" s="17">
        <f t="shared" si="21"/>
        <v>0.89493417366946781</v>
      </c>
      <c r="R17" s="12">
        <v>4</v>
      </c>
      <c r="S17" s="19">
        <f t="shared" si="22"/>
        <v>4.4889425853269964</v>
      </c>
      <c r="T17" s="17">
        <f t="shared" si="23"/>
        <v>1.1222356463317491</v>
      </c>
      <c r="U17" s="18">
        <v>14280000</v>
      </c>
      <c r="V17" s="18">
        <v>14341790</v>
      </c>
      <c r="W17" s="17">
        <f t="shared" si="24"/>
        <v>1.0043270308123249</v>
      </c>
      <c r="X17" s="18">
        <v>57120</v>
      </c>
      <c r="Y17" s="18">
        <v>5039</v>
      </c>
      <c r="Z17" s="17">
        <f t="shared" si="25"/>
        <v>8.8217787114845944E-2</v>
      </c>
      <c r="AA17" s="20">
        <v>4.0000000000000001E-3</v>
      </c>
      <c r="AB17" s="20">
        <f t="shared" si="26"/>
        <v>3.5135084253778645E-4</v>
      </c>
      <c r="AC17" s="17">
        <f t="shared" si="27"/>
        <v>8.7837710634446606E-2</v>
      </c>
      <c r="AD17" s="18">
        <v>1428000</v>
      </c>
      <c r="AE17" s="18">
        <v>1157859</v>
      </c>
      <c r="AF17" s="17">
        <f t="shared" si="28"/>
        <v>0.81082563025210086</v>
      </c>
      <c r="AG17" s="16">
        <v>0.1</v>
      </c>
      <c r="AH17" s="16">
        <f t="shared" si="29"/>
        <v>8.0733227860678478E-2</v>
      </c>
      <c r="AI17" s="17">
        <f t="shared" si="30"/>
        <v>0.80733227860678469</v>
      </c>
      <c r="AJ17" s="21" t="s">
        <v>56</v>
      </c>
      <c r="AK17" s="22">
        <v>43</v>
      </c>
      <c r="AL17" s="22">
        <f t="shared" si="31"/>
        <v>42.814739303810754</v>
      </c>
      <c r="AM17" s="17">
        <f t="shared" si="32"/>
        <v>0.9956916117165292</v>
      </c>
      <c r="AN17" s="18">
        <v>614040</v>
      </c>
      <c r="AO17" s="18">
        <v>614040</v>
      </c>
      <c r="AP17" s="17">
        <f t="shared" si="33"/>
        <v>1</v>
      </c>
      <c r="AQ17" s="34" t="s">
        <v>70</v>
      </c>
      <c r="AR17" s="34" t="s">
        <v>70</v>
      </c>
      <c r="AS17" s="34" t="s">
        <v>70</v>
      </c>
      <c r="AT17" s="34" t="s">
        <v>70</v>
      </c>
      <c r="AU17" s="34" t="s">
        <v>70</v>
      </c>
      <c r="AV17" s="34" t="s">
        <v>70</v>
      </c>
      <c r="AW17" s="18">
        <v>614040</v>
      </c>
      <c r="AX17" s="18">
        <f>AO17</f>
        <v>614040</v>
      </c>
      <c r="AY17" s="17">
        <f t="shared" si="35"/>
        <v>1</v>
      </c>
      <c r="XEZ17" s="38" t="s">
        <v>101</v>
      </c>
      <c r="XFC17" s="38" t="s">
        <v>214</v>
      </c>
    </row>
    <row r="18" spans="1:51 16380:16383" ht="15" customHeight="1" x14ac:dyDescent="0.3">
      <c r="A18" s="7" t="s">
        <v>107</v>
      </c>
      <c r="B18" s="34" t="s">
        <v>81</v>
      </c>
      <c r="C18" s="9">
        <v>44562</v>
      </c>
      <c r="D18" s="9">
        <v>44592</v>
      </c>
      <c r="E18" s="10" t="s">
        <v>74</v>
      </c>
      <c r="F18" s="33" t="s">
        <v>82</v>
      </c>
      <c r="G18" s="34" t="s">
        <v>54</v>
      </c>
      <c r="H18" s="34" t="s">
        <v>77</v>
      </c>
      <c r="I18" s="34" t="s">
        <v>249</v>
      </c>
      <c r="J18" s="14" t="s">
        <v>244</v>
      </c>
      <c r="K18" s="35">
        <v>7200000</v>
      </c>
      <c r="L18" s="16">
        <v>0.7</v>
      </c>
      <c r="M18" s="16">
        <f t="shared" si="0"/>
        <v>0.62583374999999997</v>
      </c>
      <c r="N18" s="17">
        <f t="shared" si="20"/>
        <v>0.89404821428571435</v>
      </c>
      <c r="O18" s="18">
        <v>5040000</v>
      </c>
      <c r="P18" s="18">
        <v>4506003</v>
      </c>
      <c r="Q18" s="17">
        <f t="shared" si="21"/>
        <v>0.89404821428571424</v>
      </c>
      <c r="R18" s="12">
        <v>6.45</v>
      </c>
      <c r="S18" s="19">
        <f t="shared" si="22"/>
        <v>6.0978501345871274</v>
      </c>
      <c r="T18" s="17">
        <f t="shared" si="23"/>
        <v>0.94540312164141505</v>
      </c>
      <c r="U18" s="18">
        <v>32508000</v>
      </c>
      <c r="V18" s="18">
        <v>27476931</v>
      </c>
      <c r="W18" s="17">
        <f t="shared" si="24"/>
        <v>0.84523597268364714</v>
      </c>
      <c r="X18" s="18">
        <v>22755.599999999999</v>
      </c>
      <c r="Y18" s="18">
        <v>22639</v>
      </c>
      <c r="Z18" s="17">
        <f t="shared" si="25"/>
        <v>0.99487598657033882</v>
      </c>
      <c r="AA18" s="20">
        <v>6.9999999999999999E-4</v>
      </c>
      <c r="AB18" s="20">
        <f t="shared" si="26"/>
        <v>8.239275339738634E-4</v>
      </c>
      <c r="AC18" s="17">
        <f t="shared" si="27"/>
        <v>1.1770393342483763</v>
      </c>
      <c r="AD18" s="18">
        <v>16254000</v>
      </c>
      <c r="AE18" s="18">
        <v>1040893</v>
      </c>
      <c r="AF18" s="17">
        <f t="shared" si="28"/>
        <v>6.4039190353143843E-2</v>
      </c>
      <c r="AG18" s="16">
        <v>0.5</v>
      </c>
      <c r="AH18" s="16">
        <f t="shared" si="29"/>
        <v>3.7882433085412635E-2</v>
      </c>
      <c r="AI18" s="17">
        <f t="shared" si="30"/>
        <v>7.5764866170825271E-2</v>
      </c>
      <c r="AJ18" s="21" t="s">
        <v>56</v>
      </c>
      <c r="AK18" s="22">
        <v>66</v>
      </c>
      <c r="AL18" s="22">
        <f t="shared" si="31"/>
        <v>78.031903563028933</v>
      </c>
      <c r="AM18" s="17">
        <f t="shared" si="32"/>
        <v>1.182301569136802</v>
      </c>
      <c r="AN18" s="18">
        <v>2145528</v>
      </c>
      <c r="AO18" s="18">
        <v>2144077.23</v>
      </c>
      <c r="AP18" s="17">
        <f t="shared" si="33"/>
        <v>0.99932381679474702</v>
      </c>
      <c r="AQ18" s="34" t="s">
        <v>70</v>
      </c>
      <c r="AR18" s="34" t="s">
        <v>70</v>
      </c>
      <c r="AS18" s="34" t="s">
        <v>70</v>
      </c>
      <c r="AT18" s="34" t="s">
        <v>70</v>
      </c>
      <c r="AU18" s="34" t="s">
        <v>70</v>
      </c>
      <c r="AV18" s="34" t="s">
        <v>70</v>
      </c>
      <c r="AW18" s="18">
        <v>2145528</v>
      </c>
      <c r="AX18" s="18">
        <v>2144077.23</v>
      </c>
      <c r="AY18" s="17">
        <f t="shared" si="35"/>
        <v>0.99932381679474702</v>
      </c>
      <c r="XEZ18" s="38" t="s">
        <v>102</v>
      </c>
      <c r="XFC18" s="38" t="s">
        <v>215</v>
      </c>
    </row>
    <row r="19" spans="1:51 16380:16383" ht="15" customHeight="1" x14ac:dyDescent="0.3">
      <c r="A19" s="7" t="s">
        <v>107</v>
      </c>
      <c r="B19" s="34" t="s">
        <v>81</v>
      </c>
      <c r="C19" s="9">
        <v>44562</v>
      </c>
      <c r="D19" s="9">
        <v>44592</v>
      </c>
      <c r="E19" s="10" t="s">
        <v>74</v>
      </c>
      <c r="F19" s="33" t="s">
        <v>82</v>
      </c>
      <c r="G19" s="34" t="s">
        <v>57</v>
      </c>
      <c r="H19" s="34" t="s">
        <v>77</v>
      </c>
      <c r="I19" s="34" t="s">
        <v>249</v>
      </c>
      <c r="J19" s="14" t="s">
        <v>244</v>
      </c>
      <c r="K19" s="35">
        <v>5800000</v>
      </c>
      <c r="L19" s="16">
        <v>0.7</v>
      </c>
      <c r="M19" s="16">
        <f t="shared" si="0"/>
        <v>0.66321482758620687</v>
      </c>
      <c r="N19" s="17">
        <f t="shared" si="20"/>
        <v>0.94744975369458129</v>
      </c>
      <c r="O19" s="18">
        <v>4059999.9999999995</v>
      </c>
      <c r="P19" s="18">
        <v>3846646</v>
      </c>
      <c r="Q19" s="17">
        <f t="shared" si="21"/>
        <v>0.9474497536945814</v>
      </c>
      <c r="R19" s="12">
        <v>6</v>
      </c>
      <c r="S19" s="19">
        <f t="shared" si="22"/>
        <v>6.8010404388654431</v>
      </c>
      <c r="T19" s="17">
        <f t="shared" si="23"/>
        <v>1.1335067398109071</v>
      </c>
      <c r="U19" s="18">
        <v>24359999.999999996</v>
      </c>
      <c r="V19" s="18">
        <v>26161195</v>
      </c>
      <c r="W19" s="17">
        <f t="shared" si="24"/>
        <v>1.0739406814449919</v>
      </c>
      <c r="X19" s="18">
        <v>17051.999999999996</v>
      </c>
      <c r="Y19" s="18">
        <v>21169</v>
      </c>
      <c r="Z19" s="17">
        <f t="shared" si="25"/>
        <v>1.2414379544921419</v>
      </c>
      <c r="AA19" s="20">
        <v>6.9999999999999999E-4</v>
      </c>
      <c r="AB19" s="20">
        <f t="shared" si="26"/>
        <v>8.0917557473960961E-4</v>
      </c>
      <c r="AC19" s="17">
        <f t="shared" si="27"/>
        <v>1.1559651067708709</v>
      </c>
      <c r="AD19" s="18">
        <v>12179999.999999998</v>
      </c>
      <c r="AE19" s="18">
        <v>926583</v>
      </c>
      <c r="AF19" s="17">
        <f t="shared" si="28"/>
        <v>7.60741379310345E-2</v>
      </c>
      <c r="AG19" s="16">
        <v>0.5</v>
      </c>
      <c r="AH19" s="16">
        <f t="shared" si="29"/>
        <v>3.5418221530018029E-2</v>
      </c>
      <c r="AI19" s="17">
        <f t="shared" si="30"/>
        <v>7.0836443060036058E-2</v>
      </c>
      <c r="AJ19" s="21" t="s">
        <v>56</v>
      </c>
      <c r="AK19" s="22">
        <v>63.800000000000004</v>
      </c>
      <c r="AL19" s="22">
        <f t="shared" si="31"/>
        <v>59.36582751667116</v>
      </c>
      <c r="AM19" s="17">
        <f t="shared" si="32"/>
        <v>0.93049886389766701</v>
      </c>
      <c r="AN19" s="18">
        <v>1554167.9999999998</v>
      </c>
      <c r="AO19" s="18">
        <v>1553080.99</v>
      </c>
      <c r="AP19" s="17">
        <f t="shared" si="33"/>
        <v>0.99930058397805144</v>
      </c>
      <c r="AQ19" s="34" t="s">
        <v>70</v>
      </c>
      <c r="AR19" s="34" t="s">
        <v>70</v>
      </c>
      <c r="AS19" s="34" t="s">
        <v>70</v>
      </c>
      <c r="AT19" s="34" t="s">
        <v>70</v>
      </c>
      <c r="AU19" s="34" t="s">
        <v>70</v>
      </c>
      <c r="AV19" s="34" t="s">
        <v>70</v>
      </c>
      <c r="AW19" s="18">
        <v>1554167.9999999998</v>
      </c>
      <c r="AX19" s="18">
        <v>1553080.99</v>
      </c>
      <c r="AY19" s="17">
        <f t="shared" si="35"/>
        <v>0.99930058397805144</v>
      </c>
      <c r="XEZ19" s="38" t="s">
        <v>103</v>
      </c>
      <c r="XFC19" s="38" t="s">
        <v>216</v>
      </c>
    </row>
    <row r="20" spans="1:51 16380:16383" ht="15" customHeight="1" x14ac:dyDescent="0.3">
      <c r="A20" s="7" t="s">
        <v>107</v>
      </c>
      <c r="B20" s="34" t="s">
        <v>81</v>
      </c>
      <c r="C20" s="9">
        <v>44562</v>
      </c>
      <c r="D20" s="9">
        <v>44592</v>
      </c>
      <c r="E20" s="10" t="s">
        <v>74</v>
      </c>
      <c r="F20" s="33" t="s">
        <v>82</v>
      </c>
      <c r="G20" s="34" t="s">
        <v>58</v>
      </c>
      <c r="H20" s="34" t="s">
        <v>77</v>
      </c>
      <c r="I20" s="34" t="s">
        <v>249</v>
      </c>
      <c r="J20" s="14" t="s">
        <v>244</v>
      </c>
      <c r="K20" s="35">
        <v>3200000</v>
      </c>
      <c r="L20" s="16">
        <v>0.7</v>
      </c>
      <c r="M20" s="16">
        <f t="shared" si="0"/>
        <v>0.65141625000000003</v>
      </c>
      <c r="N20" s="17">
        <f t="shared" si="20"/>
        <v>0.930594642857143</v>
      </c>
      <c r="O20" s="18">
        <v>2240000</v>
      </c>
      <c r="P20" s="18">
        <v>2084532</v>
      </c>
      <c r="Q20" s="17">
        <f t="shared" si="21"/>
        <v>0.93059464285714288</v>
      </c>
      <c r="R20" s="12">
        <v>6</v>
      </c>
      <c r="S20" s="19">
        <f t="shared" si="22"/>
        <v>7.5348308397280537</v>
      </c>
      <c r="T20" s="17">
        <f t="shared" si="23"/>
        <v>1.2558051399546757</v>
      </c>
      <c r="U20" s="18">
        <v>13440000</v>
      </c>
      <c r="V20" s="18">
        <v>15706596</v>
      </c>
      <c r="W20" s="17">
        <f t="shared" si="24"/>
        <v>1.1686455357142858</v>
      </c>
      <c r="X20" s="18">
        <v>9408</v>
      </c>
      <c r="Y20" s="18">
        <v>13519</v>
      </c>
      <c r="Z20" s="17">
        <f t="shared" si="25"/>
        <v>1.4369685374149659</v>
      </c>
      <c r="AA20" s="20">
        <v>6.9999999999999999E-4</v>
      </c>
      <c r="AB20" s="20">
        <f t="shared" si="26"/>
        <v>8.6072119000195845E-4</v>
      </c>
      <c r="AC20" s="17">
        <f t="shared" si="27"/>
        <v>1.2296017000027979</v>
      </c>
      <c r="AD20" s="18">
        <v>6720000</v>
      </c>
      <c r="AE20" s="18">
        <v>604769</v>
      </c>
      <c r="AF20" s="17">
        <f t="shared" si="28"/>
        <v>8.9995386904761901E-2</v>
      </c>
      <c r="AG20" s="16">
        <v>0.5</v>
      </c>
      <c r="AH20" s="16">
        <f t="shared" si="29"/>
        <v>3.8504141826784112E-2</v>
      </c>
      <c r="AI20" s="17">
        <f t="shared" si="30"/>
        <v>7.7008283653568224E-2</v>
      </c>
      <c r="AJ20" s="21" t="s">
        <v>56</v>
      </c>
      <c r="AK20" s="22">
        <v>72.600000000000009</v>
      </c>
      <c r="AL20" s="22">
        <f t="shared" si="31"/>
        <v>62.065045793499749</v>
      </c>
      <c r="AM20" s="17">
        <f t="shared" si="32"/>
        <v>0.85489043792699371</v>
      </c>
      <c r="AN20" s="18">
        <v>975744.00000000012</v>
      </c>
      <c r="AO20" s="18">
        <v>974830.6</v>
      </c>
      <c r="AP20" s="17">
        <f t="shared" si="33"/>
        <v>0.99906389380821181</v>
      </c>
      <c r="AQ20" s="34" t="s">
        <v>70</v>
      </c>
      <c r="AR20" s="34" t="s">
        <v>70</v>
      </c>
      <c r="AS20" s="34" t="s">
        <v>70</v>
      </c>
      <c r="AT20" s="34" t="s">
        <v>70</v>
      </c>
      <c r="AU20" s="34" t="s">
        <v>70</v>
      </c>
      <c r="AV20" s="34" t="s">
        <v>70</v>
      </c>
      <c r="AW20" s="18">
        <v>975744.00000000012</v>
      </c>
      <c r="AX20" s="18">
        <v>974830.6</v>
      </c>
      <c r="AY20" s="17">
        <f t="shared" si="35"/>
        <v>0.99906389380821181</v>
      </c>
      <c r="XEZ20" s="38" t="s">
        <v>104</v>
      </c>
      <c r="XFC20" s="38" t="s">
        <v>217</v>
      </c>
    </row>
    <row r="21" spans="1:51 16380:16383" ht="15" customHeight="1" x14ac:dyDescent="0.3">
      <c r="A21" s="7" t="s">
        <v>107</v>
      </c>
      <c r="B21" s="34" t="s">
        <v>81</v>
      </c>
      <c r="C21" s="9">
        <v>44562</v>
      </c>
      <c r="D21" s="9">
        <v>44592</v>
      </c>
      <c r="E21" s="10" t="s">
        <v>74</v>
      </c>
      <c r="F21" s="33" t="s">
        <v>82</v>
      </c>
      <c r="G21" s="34" t="s">
        <v>59</v>
      </c>
      <c r="H21" s="34" t="s">
        <v>77</v>
      </c>
      <c r="I21" s="34" t="s">
        <v>249</v>
      </c>
      <c r="J21" s="14" t="s">
        <v>244</v>
      </c>
      <c r="K21" s="35">
        <v>2000000</v>
      </c>
      <c r="L21" s="16">
        <v>0.7</v>
      </c>
      <c r="M21" s="16">
        <f t="shared" si="0"/>
        <v>0.636185</v>
      </c>
      <c r="N21" s="17">
        <f t="shared" si="20"/>
        <v>0.9088357142857143</v>
      </c>
      <c r="O21" s="18">
        <v>1400000</v>
      </c>
      <c r="P21" s="18">
        <v>1272370</v>
      </c>
      <c r="Q21" s="17">
        <f t="shared" si="21"/>
        <v>0.9088357142857143</v>
      </c>
      <c r="R21" s="12">
        <v>6</v>
      </c>
      <c r="S21" s="19">
        <f t="shared" si="22"/>
        <v>6.5192467599833384</v>
      </c>
      <c r="T21" s="17">
        <f t="shared" si="23"/>
        <v>1.0865411266638898</v>
      </c>
      <c r="U21" s="18">
        <v>8400000</v>
      </c>
      <c r="V21" s="18">
        <v>8294894</v>
      </c>
      <c r="W21" s="17">
        <f t="shared" si="24"/>
        <v>0.98748738095238098</v>
      </c>
      <c r="X21" s="18">
        <v>5880</v>
      </c>
      <c r="Y21" s="18">
        <v>6148</v>
      </c>
      <c r="Z21" s="17">
        <f t="shared" si="25"/>
        <v>1.045578231292517</v>
      </c>
      <c r="AA21" s="20">
        <v>6.9999999999999999E-4</v>
      </c>
      <c r="AB21" s="20">
        <f t="shared" si="26"/>
        <v>7.4117885050731204E-4</v>
      </c>
      <c r="AC21" s="17">
        <f t="shared" si="27"/>
        <v>1.0588269292961601</v>
      </c>
      <c r="AD21" s="18">
        <v>4200000</v>
      </c>
      <c r="AE21" s="18">
        <v>323211</v>
      </c>
      <c r="AF21" s="17">
        <f t="shared" si="28"/>
        <v>7.6954999999999996E-2</v>
      </c>
      <c r="AG21" s="16">
        <v>0.5</v>
      </c>
      <c r="AH21" s="16">
        <f t="shared" si="29"/>
        <v>3.8965054887982895E-2</v>
      </c>
      <c r="AI21" s="17">
        <f t="shared" si="30"/>
        <v>7.7930109775965789E-2</v>
      </c>
      <c r="AJ21" s="21" t="s">
        <v>56</v>
      </c>
      <c r="AK21" s="22">
        <v>58.300000000000004</v>
      </c>
      <c r="AL21" s="22">
        <f t="shared" si="31"/>
        <v>59.006992735531043</v>
      </c>
      <c r="AM21" s="17">
        <f t="shared" si="32"/>
        <v>1.012126805069143</v>
      </c>
      <c r="AN21" s="18">
        <v>489720.00000000006</v>
      </c>
      <c r="AO21" s="18">
        <v>489456.75</v>
      </c>
      <c r="AP21" s="17">
        <f t="shared" si="33"/>
        <v>0.99946244792942895</v>
      </c>
      <c r="AQ21" s="34" t="s">
        <v>70</v>
      </c>
      <c r="AR21" s="34" t="s">
        <v>70</v>
      </c>
      <c r="AS21" s="34" t="s">
        <v>70</v>
      </c>
      <c r="AT21" s="34" t="s">
        <v>70</v>
      </c>
      <c r="AU21" s="34" t="s">
        <v>70</v>
      </c>
      <c r="AV21" s="34" t="s">
        <v>70</v>
      </c>
      <c r="AW21" s="18">
        <v>489720.00000000006</v>
      </c>
      <c r="AX21" s="18">
        <v>489456.75</v>
      </c>
      <c r="AY21" s="17">
        <f t="shared" si="35"/>
        <v>0.99946244792942895</v>
      </c>
      <c r="XEZ21" s="39" t="s">
        <v>105</v>
      </c>
      <c r="XFC21" s="38" t="s">
        <v>218</v>
      </c>
    </row>
    <row r="22" spans="1:51 16380:16383" ht="15" customHeight="1" x14ac:dyDescent="0.3">
      <c r="A22" s="7" t="s">
        <v>107</v>
      </c>
      <c r="B22" s="34" t="s">
        <v>81</v>
      </c>
      <c r="C22" s="9">
        <v>44562</v>
      </c>
      <c r="D22" s="9">
        <v>44592</v>
      </c>
      <c r="E22" s="10" t="s">
        <v>74</v>
      </c>
      <c r="F22" s="33" t="s">
        <v>82</v>
      </c>
      <c r="G22" s="34" t="s">
        <v>60</v>
      </c>
      <c r="H22" s="34" t="s">
        <v>77</v>
      </c>
      <c r="I22" s="34" t="s">
        <v>249</v>
      </c>
      <c r="J22" s="14" t="s">
        <v>244</v>
      </c>
      <c r="K22" s="35">
        <v>2400000</v>
      </c>
      <c r="L22" s="16">
        <v>0.7</v>
      </c>
      <c r="M22" s="16">
        <f t="shared" si="0"/>
        <v>0.61164375000000004</v>
      </c>
      <c r="N22" s="17">
        <f t="shared" si="20"/>
        <v>0.87377678571428585</v>
      </c>
      <c r="O22" s="18">
        <v>1680000</v>
      </c>
      <c r="P22" s="18">
        <v>1467945</v>
      </c>
      <c r="Q22" s="17">
        <f t="shared" si="21"/>
        <v>0.87377678571428574</v>
      </c>
      <c r="R22" s="12">
        <v>6</v>
      </c>
      <c r="S22" s="19">
        <f t="shared" si="22"/>
        <v>7.3439808712179273</v>
      </c>
      <c r="T22" s="17">
        <f t="shared" si="23"/>
        <v>1.2239968118696545</v>
      </c>
      <c r="U22" s="18">
        <v>10080000</v>
      </c>
      <c r="V22" s="18">
        <v>10780560</v>
      </c>
      <c r="W22" s="17">
        <f t="shared" si="24"/>
        <v>1.0694999999999999</v>
      </c>
      <c r="X22" s="18">
        <v>7056</v>
      </c>
      <c r="Y22" s="18">
        <v>8869</v>
      </c>
      <c r="Z22" s="17">
        <f t="shared" si="25"/>
        <v>1.2569444444444444</v>
      </c>
      <c r="AA22" s="20">
        <v>6.9999999999999999E-4</v>
      </c>
      <c r="AB22" s="20">
        <f t="shared" si="26"/>
        <v>8.226845358682666E-4</v>
      </c>
      <c r="AC22" s="17">
        <f t="shared" si="27"/>
        <v>1.1752636226689523</v>
      </c>
      <c r="AD22" s="18">
        <v>5040000</v>
      </c>
      <c r="AE22" s="18">
        <v>373961</v>
      </c>
      <c r="AF22" s="17">
        <f t="shared" si="28"/>
        <v>7.4198611111111118E-2</v>
      </c>
      <c r="AG22" s="16">
        <v>0.5</v>
      </c>
      <c r="AH22" s="16">
        <f t="shared" si="29"/>
        <v>3.4688457742454937E-2</v>
      </c>
      <c r="AI22" s="17">
        <f t="shared" si="30"/>
        <v>6.9376915484909873E-2</v>
      </c>
      <c r="AJ22" s="21" t="s">
        <v>56</v>
      </c>
      <c r="AK22" s="22">
        <v>46.2</v>
      </c>
      <c r="AL22" s="22">
        <f t="shared" si="31"/>
        <v>43.158243171041207</v>
      </c>
      <c r="AM22" s="17">
        <f t="shared" si="32"/>
        <v>0.9341611075982944</v>
      </c>
      <c r="AN22" s="18">
        <v>465696</v>
      </c>
      <c r="AO22" s="18">
        <v>465270.03</v>
      </c>
      <c r="AP22" s="17">
        <f t="shared" si="33"/>
        <v>0.99908530457637601</v>
      </c>
      <c r="AQ22" s="34" t="s">
        <v>70</v>
      </c>
      <c r="AR22" s="34" t="s">
        <v>70</v>
      </c>
      <c r="AS22" s="34" t="s">
        <v>70</v>
      </c>
      <c r="AT22" s="34" t="s">
        <v>70</v>
      </c>
      <c r="AU22" s="34" t="s">
        <v>70</v>
      </c>
      <c r="AV22" s="34" t="s">
        <v>70</v>
      </c>
      <c r="AW22" s="18">
        <v>465696</v>
      </c>
      <c r="AX22" s="18">
        <v>465270.03</v>
      </c>
      <c r="AY22" s="17">
        <f t="shared" si="35"/>
        <v>0.99908530457637601</v>
      </c>
      <c r="XEZ22" s="38" t="s">
        <v>106</v>
      </c>
      <c r="XFC22" s="38" t="s">
        <v>219</v>
      </c>
    </row>
    <row r="23" spans="1:51 16380:16383" ht="15" customHeight="1" x14ac:dyDescent="0.3">
      <c r="A23" s="7" t="s">
        <v>107</v>
      </c>
      <c r="B23" s="34" t="s">
        <v>81</v>
      </c>
      <c r="C23" s="9">
        <v>44562</v>
      </c>
      <c r="D23" s="9">
        <v>44592</v>
      </c>
      <c r="E23" s="10" t="s">
        <v>74</v>
      </c>
      <c r="F23" s="33" t="s">
        <v>82</v>
      </c>
      <c r="G23" s="34" t="s">
        <v>61</v>
      </c>
      <c r="H23" s="34" t="s">
        <v>77</v>
      </c>
      <c r="I23" s="34" t="s">
        <v>249</v>
      </c>
      <c r="J23" s="14" t="s">
        <v>244</v>
      </c>
      <c r="K23" s="35">
        <v>2700000</v>
      </c>
      <c r="L23" s="16">
        <v>0.7</v>
      </c>
      <c r="M23" s="16">
        <f t="shared" si="0"/>
        <v>0.65923333333333334</v>
      </c>
      <c r="N23" s="17">
        <f t="shared" si="20"/>
        <v>0.9417619047619048</v>
      </c>
      <c r="O23" s="18">
        <v>1889999.9999999998</v>
      </c>
      <c r="P23" s="18">
        <v>1779930</v>
      </c>
      <c r="Q23" s="17">
        <f t="shared" si="21"/>
        <v>0.94176190476190491</v>
      </c>
      <c r="R23" s="12">
        <v>6</v>
      </c>
      <c r="S23" s="19">
        <f t="shared" si="22"/>
        <v>6.0480872843314062</v>
      </c>
      <c r="T23" s="17">
        <f t="shared" si="23"/>
        <v>1.0080145473885678</v>
      </c>
      <c r="U23" s="18">
        <v>11339999.999999998</v>
      </c>
      <c r="V23" s="18">
        <v>10765172</v>
      </c>
      <c r="W23" s="17">
        <f t="shared" si="24"/>
        <v>0.94930970017636696</v>
      </c>
      <c r="X23" s="18">
        <v>7937.9999999999982</v>
      </c>
      <c r="Y23" s="18">
        <v>9253</v>
      </c>
      <c r="Z23" s="17">
        <f t="shared" si="25"/>
        <v>1.1656588561350469</v>
      </c>
      <c r="AA23" s="20">
        <v>6.9999999999999999E-4</v>
      </c>
      <c r="AB23" s="20">
        <f t="shared" si="26"/>
        <v>8.5953108784513619E-4</v>
      </c>
      <c r="AC23" s="17">
        <f t="shared" si="27"/>
        <v>1.2279015540644802</v>
      </c>
      <c r="AD23" s="18">
        <v>5669999.9999999991</v>
      </c>
      <c r="AE23" s="18">
        <v>422609</v>
      </c>
      <c r="AF23" s="17">
        <f t="shared" si="28"/>
        <v>7.4534215167548518E-2</v>
      </c>
      <c r="AG23" s="16">
        <v>0.5</v>
      </c>
      <c r="AH23" s="16">
        <f t="shared" si="29"/>
        <v>3.9257059710704111E-2</v>
      </c>
      <c r="AI23" s="17">
        <f t="shared" si="30"/>
        <v>7.8514119421408221E-2</v>
      </c>
      <c r="AJ23" s="21" t="s">
        <v>56</v>
      </c>
      <c r="AK23" s="22">
        <v>59.400000000000006</v>
      </c>
      <c r="AL23" s="22">
        <f t="shared" si="31"/>
        <v>62.512491207757762</v>
      </c>
      <c r="AM23" s="17">
        <f t="shared" si="32"/>
        <v>1.0523988418814436</v>
      </c>
      <c r="AN23" s="18">
        <v>673596</v>
      </c>
      <c r="AO23" s="18">
        <v>672957.72</v>
      </c>
      <c r="AP23" s="17">
        <f t="shared" si="33"/>
        <v>0.99905242905242897</v>
      </c>
      <c r="AQ23" s="34" t="s">
        <v>70</v>
      </c>
      <c r="AR23" s="34" t="s">
        <v>70</v>
      </c>
      <c r="AS23" s="34" t="s">
        <v>70</v>
      </c>
      <c r="AT23" s="34" t="s">
        <v>70</v>
      </c>
      <c r="AU23" s="34" t="s">
        <v>70</v>
      </c>
      <c r="AV23" s="34" t="s">
        <v>70</v>
      </c>
      <c r="AW23" s="18">
        <v>673596</v>
      </c>
      <c r="AX23" s="18">
        <v>672957.72</v>
      </c>
      <c r="AY23" s="17">
        <f t="shared" si="35"/>
        <v>0.99905242905242897</v>
      </c>
      <c r="XEZ23" s="38" t="s">
        <v>107</v>
      </c>
      <c r="XFC23" s="38" t="s">
        <v>220</v>
      </c>
    </row>
    <row r="24" spans="1:51 16380:16383" ht="15" customHeight="1" x14ac:dyDescent="0.3">
      <c r="A24" s="7" t="s">
        <v>106</v>
      </c>
      <c r="B24" s="34" t="s">
        <v>81</v>
      </c>
      <c r="C24" s="9">
        <v>44562</v>
      </c>
      <c r="D24" s="9">
        <v>44592</v>
      </c>
      <c r="E24" s="10" t="s">
        <v>74</v>
      </c>
      <c r="F24" s="33" t="s">
        <v>83</v>
      </c>
      <c r="G24" s="34" t="s">
        <v>54</v>
      </c>
      <c r="H24" s="34" t="s">
        <v>77</v>
      </c>
      <c r="I24" s="34" t="s">
        <v>249</v>
      </c>
      <c r="J24" s="34" t="s">
        <v>245</v>
      </c>
      <c r="K24" s="35">
        <v>2600000</v>
      </c>
      <c r="L24" s="16">
        <v>0.7</v>
      </c>
      <c r="M24" s="16">
        <f t="shared" si="0"/>
        <v>0.59434307692307697</v>
      </c>
      <c r="N24" s="17">
        <f t="shared" si="20"/>
        <v>0.84906153846153853</v>
      </c>
      <c r="O24" s="18">
        <v>1820000</v>
      </c>
      <c r="P24" s="18">
        <v>1545292</v>
      </c>
      <c r="Q24" s="17">
        <f t="shared" si="21"/>
        <v>0.84906153846153842</v>
      </c>
      <c r="R24" s="12">
        <v>6.45</v>
      </c>
      <c r="S24" s="19">
        <f t="shared" si="22"/>
        <v>6.0316794495797561</v>
      </c>
      <c r="T24" s="17">
        <f t="shared" si="23"/>
        <v>0.93514410071003973</v>
      </c>
      <c r="U24" s="18">
        <v>11739000</v>
      </c>
      <c r="V24" s="18">
        <v>9320706</v>
      </c>
      <c r="W24" s="17">
        <f t="shared" si="24"/>
        <v>0.79399488883209812</v>
      </c>
      <c r="X24" s="18">
        <v>64564.499999999993</v>
      </c>
      <c r="Y24" s="18">
        <v>56450</v>
      </c>
      <c r="Z24" s="17">
        <f t="shared" si="25"/>
        <v>0.87431947897064188</v>
      </c>
      <c r="AA24" s="20">
        <v>5.4999999999999997E-3</v>
      </c>
      <c r="AB24" s="20">
        <f t="shared" si="26"/>
        <v>6.056408173372275E-3</v>
      </c>
      <c r="AC24" s="17">
        <f t="shared" si="27"/>
        <v>1.1011651224313228</v>
      </c>
      <c r="AD24" s="18">
        <v>5869500</v>
      </c>
      <c r="AE24" s="18">
        <v>401371</v>
      </c>
      <c r="AF24" s="17">
        <f t="shared" si="28"/>
        <v>6.838248573132294E-2</v>
      </c>
      <c r="AG24" s="16">
        <v>0.5</v>
      </c>
      <c r="AH24" s="16">
        <f t="shared" si="29"/>
        <v>4.306229592479368E-2</v>
      </c>
      <c r="AI24" s="17">
        <f t="shared" si="30"/>
        <v>8.6124591849587359E-2</v>
      </c>
      <c r="AJ24" s="21" t="s">
        <v>56</v>
      </c>
      <c r="AK24" s="22">
        <v>49.500000000000007</v>
      </c>
      <c r="AL24" s="22">
        <f t="shared" si="31"/>
        <v>62.315722650194097</v>
      </c>
      <c r="AM24" s="17">
        <f t="shared" si="32"/>
        <v>1.2589034878827088</v>
      </c>
      <c r="AN24" s="18">
        <v>581080.50000000012</v>
      </c>
      <c r="AO24" s="18">
        <v>580826.53</v>
      </c>
      <c r="AP24" s="17">
        <f t="shared" si="33"/>
        <v>0.99956293491177195</v>
      </c>
      <c r="AQ24" s="34" t="s">
        <v>70</v>
      </c>
      <c r="AR24" s="34" t="s">
        <v>70</v>
      </c>
      <c r="AS24" s="34" t="s">
        <v>70</v>
      </c>
      <c r="AT24" s="34" t="s">
        <v>70</v>
      </c>
      <c r="AU24" s="34" t="s">
        <v>70</v>
      </c>
      <c r="AV24" s="34" t="s">
        <v>70</v>
      </c>
      <c r="AW24" s="18">
        <v>581080.50000000012</v>
      </c>
      <c r="AX24" s="18">
        <v>580826.53</v>
      </c>
      <c r="AY24" s="17">
        <f t="shared" si="35"/>
        <v>0.99956293491177195</v>
      </c>
      <c r="XEZ24" s="38" t="s">
        <v>108</v>
      </c>
      <c r="XFC24" s="38" t="s">
        <v>221</v>
      </c>
    </row>
    <row r="25" spans="1:51 16380:16383" ht="15" customHeight="1" x14ac:dyDescent="0.3">
      <c r="A25" s="7" t="s">
        <v>106</v>
      </c>
      <c r="B25" s="34" t="s">
        <v>81</v>
      </c>
      <c r="C25" s="9">
        <v>44562</v>
      </c>
      <c r="D25" s="9">
        <v>44592</v>
      </c>
      <c r="E25" s="10" t="s">
        <v>74</v>
      </c>
      <c r="F25" s="33" t="s">
        <v>83</v>
      </c>
      <c r="G25" s="34" t="s">
        <v>57</v>
      </c>
      <c r="H25" s="34" t="s">
        <v>77</v>
      </c>
      <c r="I25" s="34" t="s">
        <v>249</v>
      </c>
      <c r="J25" s="34" t="s">
        <v>245</v>
      </c>
      <c r="K25" s="35">
        <v>2300000</v>
      </c>
      <c r="L25" s="16">
        <v>0.7</v>
      </c>
      <c r="M25" s="16">
        <f t="shared" si="0"/>
        <v>0.60085782608695648</v>
      </c>
      <c r="N25" s="17">
        <f t="shared" si="20"/>
        <v>0.85836832298136645</v>
      </c>
      <c r="O25" s="18">
        <v>1610000</v>
      </c>
      <c r="P25" s="18">
        <v>1381973</v>
      </c>
      <c r="Q25" s="17">
        <f t="shared" si="21"/>
        <v>0.85836832298136645</v>
      </c>
      <c r="R25" s="12">
        <v>6</v>
      </c>
      <c r="S25" s="19">
        <f t="shared" si="22"/>
        <v>6.0538056821660051</v>
      </c>
      <c r="T25" s="17">
        <f t="shared" si="23"/>
        <v>1.0089676136943342</v>
      </c>
      <c r="U25" s="18">
        <v>9660000</v>
      </c>
      <c r="V25" s="18">
        <v>8366196</v>
      </c>
      <c r="W25" s="17">
        <f t="shared" si="24"/>
        <v>0.86606583850931673</v>
      </c>
      <c r="X25" s="18">
        <v>53130</v>
      </c>
      <c r="Y25" s="18">
        <v>47483</v>
      </c>
      <c r="Z25" s="17">
        <f t="shared" si="25"/>
        <v>0.8937135328439676</v>
      </c>
      <c r="AA25" s="20">
        <v>5.4999999999999997E-3</v>
      </c>
      <c r="AB25" s="20">
        <f t="shared" si="26"/>
        <v>5.6755782436844655E-3</v>
      </c>
      <c r="AC25" s="17">
        <f t="shared" si="27"/>
        <v>1.0319233170335393</v>
      </c>
      <c r="AD25" s="18">
        <v>4830000</v>
      </c>
      <c r="AE25" s="18">
        <v>349540</v>
      </c>
      <c r="AF25" s="17">
        <f t="shared" si="28"/>
        <v>7.2368530020703939E-2</v>
      </c>
      <c r="AG25" s="16">
        <v>0.5</v>
      </c>
      <c r="AH25" s="16">
        <f t="shared" si="29"/>
        <v>4.1780039578322097E-2</v>
      </c>
      <c r="AI25" s="17">
        <f t="shared" si="30"/>
        <v>8.3560079156644193E-2</v>
      </c>
      <c r="AJ25" s="21" t="s">
        <v>56</v>
      </c>
      <c r="AK25" s="22">
        <v>63.800000000000004</v>
      </c>
      <c r="AL25" s="22">
        <f t="shared" si="31"/>
        <v>73.65460837876617</v>
      </c>
      <c r="AM25" s="17">
        <f t="shared" si="32"/>
        <v>1.1544609463756452</v>
      </c>
      <c r="AN25" s="18">
        <v>616308</v>
      </c>
      <c r="AO25" s="18">
        <v>616208.89</v>
      </c>
      <c r="AP25" s="17">
        <f t="shared" si="33"/>
        <v>0.99983918754908263</v>
      </c>
      <c r="AQ25" s="34" t="s">
        <v>70</v>
      </c>
      <c r="AR25" s="34" t="s">
        <v>70</v>
      </c>
      <c r="AS25" s="34" t="s">
        <v>70</v>
      </c>
      <c r="AT25" s="34" t="s">
        <v>70</v>
      </c>
      <c r="AU25" s="34" t="s">
        <v>70</v>
      </c>
      <c r="AV25" s="34" t="s">
        <v>70</v>
      </c>
      <c r="AW25" s="18">
        <v>616308</v>
      </c>
      <c r="AX25" s="18">
        <v>616208.89</v>
      </c>
      <c r="AY25" s="17">
        <f t="shared" si="35"/>
        <v>0.99983918754908263</v>
      </c>
      <c r="XEZ25" s="39" t="s">
        <v>109</v>
      </c>
      <c r="XFC25" s="38" t="s">
        <v>222</v>
      </c>
    </row>
    <row r="26" spans="1:51 16380:16383" ht="15" customHeight="1" x14ac:dyDescent="0.3">
      <c r="A26" s="7" t="s">
        <v>106</v>
      </c>
      <c r="B26" s="34" t="s">
        <v>81</v>
      </c>
      <c r="C26" s="9">
        <v>44562</v>
      </c>
      <c r="D26" s="9">
        <v>44592</v>
      </c>
      <c r="E26" s="10" t="s">
        <v>74</v>
      </c>
      <c r="F26" s="33" t="s">
        <v>83</v>
      </c>
      <c r="G26" s="34" t="s">
        <v>58</v>
      </c>
      <c r="H26" s="34" t="s">
        <v>77</v>
      </c>
      <c r="I26" s="34" t="s">
        <v>249</v>
      </c>
      <c r="J26" s="34" t="s">
        <v>245</v>
      </c>
      <c r="K26" s="35">
        <v>1000000</v>
      </c>
      <c r="L26" s="16">
        <v>0.7</v>
      </c>
      <c r="M26" s="16">
        <f t="shared" si="0"/>
        <v>0.64554299999999998</v>
      </c>
      <c r="N26" s="17">
        <f t="shared" si="20"/>
        <v>0.9222042857142857</v>
      </c>
      <c r="O26" s="18">
        <v>700000</v>
      </c>
      <c r="P26" s="18">
        <v>645543</v>
      </c>
      <c r="Q26" s="17">
        <f t="shared" si="21"/>
        <v>0.9222042857142857</v>
      </c>
      <c r="R26" s="12">
        <v>6</v>
      </c>
      <c r="S26" s="19">
        <f t="shared" si="22"/>
        <v>6.1511920971956942</v>
      </c>
      <c r="T26" s="17">
        <f t="shared" si="23"/>
        <v>1.025198682865949</v>
      </c>
      <c r="U26" s="18">
        <v>4200000</v>
      </c>
      <c r="V26" s="18">
        <v>3970859</v>
      </c>
      <c r="W26" s="17">
        <f t="shared" si="24"/>
        <v>0.94544261904761906</v>
      </c>
      <c r="X26" s="18">
        <v>23100</v>
      </c>
      <c r="Y26" s="18">
        <v>22458</v>
      </c>
      <c r="Z26" s="17">
        <f t="shared" si="25"/>
        <v>0.97220779220779219</v>
      </c>
      <c r="AA26" s="20">
        <v>5.4999999999999997E-3</v>
      </c>
      <c r="AB26" s="20">
        <f t="shared" si="26"/>
        <v>5.6557032118239401E-3</v>
      </c>
      <c r="AC26" s="17">
        <f t="shared" si="27"/>
        <v>1.0283096748770801</v>
      </c>
      <c r="AD26" s="18">
        <v>2100000</v>
      </c>
      <c r="AE26" s="18">
        <v>163485</v>
      </c>
      <c r="AF26" s="17">
        <f t="shared" si="28"/>
        <v>7.7850000000000003E-2</v>
      </c>
      <c r="AG26" s="16">
        <v>0.5</v>
      </c>
      <c r="AH26" s="16">
        <f t="shared" si="29"/>
        <v>4.1171192429648097E-2</v>
      </c>
      <c r="AI26" s="17">
        <f t="shared" si="30"/>
        <v>8.2342384859296194E-2</v>
      </c>
      <c r="AJ26" s="21" t="s">
        <v>56</v>
      </c>
      <c r="AK26" s="22">
        <v>64.900000000000006</v>
      </c>
      <c r="AL26" s="22">
        <f t="shared" si="31"/>
        <v>68.632756791414664</v>
      </c>
      <c r="AM26" s="17">
        <f t="shared" si="32"/>
        <v>1.0575155129647866</v>
      </c>
      <c r="AN26" s="18">
        <v>272580</v>
      </c>
      <c r="AO26" s="18">
        <v>272531</v>
      </c>
      <c r="AP26" s="17">
        <f t="shared" si="33"/>
        <v>0.99982023626091421</v>
      </c>
      <c r="AQ26" s="34" t="s">
        <v>70</v>
      </c>
      <c r="AR26" s="34" t="s">
        <v>70</v>
      </c>
      <c r="AS26" s="34" t="s">
        <v>70</v>
      </c>
      <c r="AT26" s="34" t="s">
        <v>70</v>
      </c>
      <c r="AU26" s="34" t="s">
        <v>70</v>
      </c>
      <c r="AV26" s="34" t="s">
        <v>70</v>
      </c>
      <c r="AW26" s="18">
        <v>272580</v>
      </c>
      <c r="AX26" s="18">
        <v>272531</v>
      </c>
      <c r="AY26" s="17">
        <f t="shared" si="35"/>
        <v>0.99982023626091421</v>
      </c>
      <c r="XEZ26" s="39" t="s">
        <v>110</v>
      </c>
      <c r="XFC26" s="38" t="s">
        <v>223</v>
      </c>
    </row>
    <row r="27" spans="1:51 16380:16383" ht="15" customHeight="1" x14ac:dyDescent="0.3">
      <c r="A27" s="7" t="s">
        <v>106</v>
      </c>
      <c r="B27" s="34" t="s">
        <v>81</v>
      </c>
      <c r="C27" s="9">
        <v>44562</v>
      </c>
      <c r="D27" s="9">
        <v>44592</v>
      </c>
      <c r="E27" s="10" t="s">
        <v>74</v>
      </c>
      <c r="F27" s="33" t="s">
        <v>83</v>
      </c>
      <c r="G27" s="34" t="s">
        <v>59</v>
      </c>
      <c r="H27" s="34" t="s">
        <v>77</v>
      </c>
      <c r="I27" s="34" t="s">
        <v>249</v>
      </c>
      <c r="J27" s="34" t="s">
        <v>245</v>
      </c>
      <c r="K27" s="35">
        <v>1900000</v>
      </c>
      <c r="L27" s="16">
        <v>0.7</v>
      </c>
      <c r="M27" s="16">
        <f t="shared" si="0"/>
        <v>0.61984315789473687</v>
      </c>
      <c r="N27" s="17">
        <f t="shared" si="20"/>
        <v>0.88549022556390988</v>
      </c>
      <c r="O27" s="18">
        <v>1330000</v>
      </c>
      <c r="P27" s="18">
        <v>1177702</v>
      </c>
      <c r="Q27" s="17">
        <f t="shared" si="21"/>
        <v>0.88549022556390977</v>
      </c>
      <c r="R27" s="12">
        <v>6</v>
      </c>
      <c r="S27" s="19">
        <f t="shared" si="22"/>
        <v>5.7659985293393401</v>
      </c>
      <c r="T27" s="17">
        <f t="shared" si="23"/>
        <v>0.96099975488988998</v>
      </c>
      <c r="U27" s="18">
        <v>7980000</v>
      </c>
      <c r="V27" s="18">
        <v>6790628</v>
      </c>
      <c r="W27" s="17">
        <f t="shared" si="24"/>
        <v>0.8509558897243108</v>
      </c>
      <c r="X27" s="18">
        <v>43890</v>
      </c>
      <c r="Y27" s="18">
        <v>41218</v>
      </c>
      <c r="Z27" s="17">
        <f t="shared" si="25"/>
        <v>0.9391205285942128</v>
      </c>
      <c r="AA27" s="20">
        <v>5.4999999999999997E-3</v>
      </c>
      <c r="AB27" s="20">
        <f t="shared" si="26"/>
        <v>6.0698362507856417E-3</v>
      </c>
      <c r="AC27" s="17">
        <f t="shared" si="27"/>
        <v>1.1036065910519348</v>
      </c>
      <c r="AD27" s="18">
        <v>3990000</v>
      </c>
      <c r="AE27" s="18">
        <v>280303</v>
      </c>
      <c r="AF27" s="17">
        <f t="shared" si="28"/>
        <v>7.0251378446115287E-2</v>
      </c>
      <c r="AG27" s="16">
        <v>0.5</v>
      </c>
      <c r="AH27" s="16">
        <f t="shared" si="29"/>
        <v>4.1277920098111695E-2</v>
      </c>
      <c r="AI27" s="17">
        <f t="shared" si="30"/>
        <v>8.255584019622339E-2</v>
      </c>
      <c r="AJ27" s="21" t="s">
        <v>56</v>
      </c>
      <c r="AK27" s="22">
        <v>36.300000000000004</v>
      </c>
      <c r="AL27" s="22">
        <f t="shared" si="31"/>
        <v>42.646504859344375</v>
      </c>
      <c r="AM27" s="17">
        <f t="shared" si="32"/>
        <v>1.1748348446100378</v>
      </c>
      <c r="AN27" s="18">
        <v>289674.00000000006</v>
      </c>
      <c r="AO27" s="18">
        <v>289596.55</v>
      </c>
      <c r="AP27" s="17">
        <f t="shared" si="33"/>
        <v>0.99973263047425698</v>
      </c>
      <c r="AQ27" s="34" t="s">
        <v>70</v>
      </c>
      <c r="AR27" s="34" t="s">
        <v>70</v>
      </c>
      <c r="AS27" s="34" t="s">
        <v>70</v>
      </c>
      <c r="AT27" s="34" t="s">
        <v>70</v>
      </c>
      <c r="AU27" s="34" t="s">
        <v>70</v>
      </c>
      <c r="AV27" s="34" t="s">
        <v>70</v>
      </c>
      <c r="AW27" s="18">
        <v>289674.00000000006</v>
      </c>
      <c r="AX27" s="18">
        <v>289596.55</v>
      </c>
      <c r="AY27" s="17">
        <f t="shared" si="35"/>
        <v>0.99973263047425698</v>
      </c>
      <c r="XEZ27" s="39" t="s">
        <v>111</v>
      </c>
      <c r="XFC27" s="38" t="s">
        <v>224</v>
      </c>
    </row>
    <row r="28" spans="1:51 16380:16383" ht="15" customHeight="1" x14ac:dyDescent="0.3">
      <c r="A28" s="7" t="s">
        <v>106</v>
      </c>
      <c r="B28" s="34" t="s">
        <v>81</v>
      </c>
      <c r="C28" s="9">
        <v>44562</v>
      </c>
      <c r="D28" s="9">
        <v>44592</v>
      </c>
      <c r="E28" s="10" t="s">
        <v>74</v>
      </c>
      <c r="F28" s="33" t="s">
        <v>83</v>
      </c>
      <c r="G28" s="34" t="s">
        <v>60</v>
      </c>
      <c r="H28" s="34" t="s">
        <v>77</v>
      </c>
      <c r="I28" s="34" t="s">
        <v>249</v>
      </c>
      <c r="J28" s="34" t="s">
        <v>245</v>
      </c>
      <c r="K28" s="35">
        <v>935000</v>
      </c>
      <c r="L28" s="16">
        <v>0.7</v>
      </c>
      <c r="M28" s="16">
        <f t="shared" si="0"/>
        <v>0.57694117647058829</v>
      </c>
      <c r="N28" s="17">
        <f t="shared" si="20"/>
        <v>0.82420168067226907</v>
      </c>
      <c r="O28" s="18">
        <v>654500</v>
      </c>
      <c r="P28" s="18">
        <v>539440</v>
      </c>
      <c r="Q28" s="17">
        <f t="shared" si="21"/>
        <v>0.82420168067226895</v>
      </c>
      <c r="R28" s="12">
        <v>6</v>
      </c>
      <c r="S28" s="19">
        <f t="shared" si="22"/>
        <v>7.0429797567848142</v>
      </c>
      <c r="T28" s="17">
        <f t="shared" si="23"/>
        <v>1.1738299594641357</v>
      </c>
      <c r="U28" s="18">
        <v>3927000</v>
      </c>
      <c r="V28" s="18">
        <v>3799265</v>
      </c>
      <c r="W28" s="17">
        <f t="shared" si="24"/>
        <v>0.96747262541380186</v>
      </c>
      <c r="X28" s="18">
        <v>21598.5</v>
      </c>
      <c r="Y28" s="18">
        <v>20266</v>
      </c>
      <c r="Z28" s="17">
        <f t="shared" si="25"/>
        <v>0.93830590087274579</v>
      </c>
      <c r="AA28" s="20">
        <v>5.4999999999999997E-3</v>
      </c>
      <c r="AB28" s="20">
        <f t="shared" si="26"/>
        <v>5.334189639311814E-3</v>
      </c>
      <c r="AC28" s="17">
        <f t="shared" si="27"/>
        <v>0.96985266169305717</v>
      </c>
      <c r="AD28" s="18">
        <v>1963500</v>
      </c>
      <c r="AE28" s="18">
        <v>129648</v>
      </c>
      <c r="AF28" s="17">
        <f t="shared" si="28"/>
        <v>6.6029029793735677E-2</v>
      </c>
      <c r="AG28" s="16">
        <v>0.5</v>
      </c>
      <c r="AH28" s="16">
        <f t="shared" si="29"/>
        <v>3.4124495132611177E-2</v>
      </c>
      <c r="AI28" s="17">
        <f t="shared" si="30"/>
        <v>6.8248990265222353E-2</v>
      </c>
      <c r="AJ28" s="21" t="s">
        <v>56</v>
      </c>
      <c r="AK28" s="22">
        <v>72.600000000000009</v>
      </c>
      <c r="AL28" s="22">
        <f t="shared" si="31"/>
        <v>74.889400976241461</v>
      </c>
      <c r="AM28" s="17">
        <f t="shared" si="32"/>
        <v>1.03153444870856</v>
      </c>
      <c r="AN28" s="18">
        <v>285100.20000000007</v>
      </c>
      <c r="AO28" s="18">
        <v>284524.68</v>
      </c>
      <c r="AP28" s="17">
        <f t="shared" si="33"/>
        <v>0.99798134129684901</v>
      </c>
      <c r="AQ28" s="34" t="s">
        <v>70</v>
      </c>
      <c r="AR28" s="34" t="s">
        <v>70</v>
      </c>
      <c r="AS28" s="34" t="s">
        <v>70</v>
      </c>
      <c r="AT28" s="34" t="s">
        <v>70</v>
      </c>
      <c r="AU28" s="34" t="s">
        <v>70</v>
      </c>
      <c r="AV28" s="34" t="s">
        <v>70</v>
      </c>
      <c r="AW28" s="18">
        <v>285100.20000000007</v>
      </c>
      <c r="AX28" s="18">
        <v>284524.68</v>
      </c>
      <c r="AY28" s="17">
        <f t="shared" si="35"/>
        <v>0.99798134129684901</v>
      </c>
      <c r="XEZ28" s="39" t="s">
        <v>112</v>
      </c>
      <c r="XFC28" s="38" t="s">
        <v>225</v>
      </c>
    </row>
    <row r="29" spans="1:51 16380:16383" ht="15" customHeight="1" x14ac:dyDescent="0.3">
      <c r="A29" s="7" t="s">
        <v>106</v>
      </c>
      <c r="B29" s="34" t="s">
        <v>81</v>
      </c>
      <c r="C29" s="9">
        <v>44562</v>
      </c>
      <c r="D29" s="9">
        <v>44592</v>
      </c>
      <c r="E29" s="10" t="s">
        <v>74</v>
      </c>
      <c r="F29" s="33" t="s">
        <v>83</v>
      </c>
      <c r="G29" s="34" t="s">
        <v>61</v>
      </c>
      <c r="H29" s="34" t="s">
        <v>77</v>
      </c>
      <c r="I29" s="34" t="s">
        <v>249</v>
      </c>
      <c r="J29" s="34" t="s">
        <v>245</v>
      </c>
      <c r="K29" s="35">
        <v>676000</v>
      </c>
      <c r="L29" s="16">
        <v>0.7</v>
      </c>
      <c r="M29" s="16">
        <f t="shared" si="0"/>
        <v>0.62684319526627219</v>
      </c>
      <c r="N29" s="17">
        <f t="shared" si="20"/>
        <v>0.89549027895181743</v>
      </c>
      <c r="O29" s="18">
        <v>473199.99999999994</v>
      </c>
      <c r="P29" s="18">
        <v>423746</v>
      </c>
      <c r="Q29" s="17">
        <f t="shared" si="21"/>
        <v>0.89549027895181754</v>
      </c>
      <c r="R29" s="12">
        <v>6</v>
      </c>
      <c r="S29" s="19">
        <f t="shared" si="22"/>
        <v>7.1198972969656351</v>
      </c>
      <c r="T29" s="17">
        <f t="shared" si="23"/>
        <v>1.1866495494942726</v>
      </c>
      <c r="U29" s="18">
        <v>2839199.9999999995</v>
      </c>
      <c r="V29" s="18">
        <v>3017028</v>
      </c>
      <c r="W29" s="17">
        <f t="shared" si="24"/>
        <v>1.0626331360946748</v>
      </c>
      <c r="X29" s="18">
        <v>15615.599999999997</v>
      </c>
      <c r="Y29" s="18">
        <v>17936</v>
      </c>
      <c r="Z29" s="17">
        <f t="shared" si="25"/>
        <v>1.1485949947488412</v>
      </c>
      <c r="AA29" s="20">
        <v>5.4999999999999997E-3</v>
      </c>
      <c r="AB29" s="20">
        <f t="shared" si="26"/>
        <v>5.9449232821173681E-3</v>
      </c>
      <c r="AC29" s="17">
        <f t="shared" si="27"/>
        <v>1.0808951422031579</v>
      </c>
      <c r="AD29" s="18">
        <v>1419599.9999999998</v>
      </c>
      <c r="AE29" s="18">
        <v>130471</v>
      </c>
      <c r="AF29" s="17">
        <f t="shared" si="28"/>
        <v>9.1906875176105962E-2</v>
      </c>
      <c r="AG29" s="16">
        <v>0.5</v>
      </c>
      <c r="AH29" s="16">
        <f t="shared" si="29"/>
        <v>4.3244875420446874E-2</v>
      </c>
      <c r="AI29" s="17">
        <f t="shared" si="30"/>
        <v>8.6489750840893748E-2</v>
      </c>
      <c r="AJ29" s="21" t="s">
        <v>56</v>
      </c>
      <c r="AK29" s="22">
        <v>95.7</v>
      </c>
      <c r="AL29" s="22">
        <f t="shared" si="31"/>
        <v>90.046847427335777</v>
      </c>
      <c r="AM29" s="17">
        <f t="shared" si="32"/>
        <v>0.9409283952699663</v>
      </c>
      <c r="AN29" s="18">
        <v>271711.43999999994</v>
      </c>
      <c r="AO29" s="18">
        <v>271673.86</v>
      </c>
      <c r="AP29" s="17">
        <f t="shared" si="33"/>
        <v>0.99986169150625404</v>
      </c>
      <c r="AQ29" s="34" t="s">
        <v>70</v>
      </c>
      <c r="AR29" s="34" t="s">
        <v>70</v>
      </c>
      <c r="AS29" s="34" t="s">
        <v>70</v>
      </c>
      <c r="AT29" s="34" t="s">
        <v>70</v>
      </c>
      <c r="AU29" s="34" t="s">
        <v>70</v>
      </c>
      <c r="AV29" s="34" t="s">
        <v>70</v>
      </c>
      <c r="AW29" s="18">
        <v>271711.43999999994</v>
      </c>
      <c r="AX29" s="18">
        <v>271673.86</v>
      </c>
      <c r="AY29" s="17">
        <f t="shared" si="35"/>
        <v>0.99986169150625404</v>
      </c>
      <c r="XEZ29" s="39" t="s">
        <v>113</v>
      </c>
      <c r="XFC29" s="38" t="s">
        <v>226</v>
      </c>
    </row>
    <row r="30" spans="1:51 16380:16383" ht="15" customHeight="1" x14ac:dyDescent="0.3">
      <c r="A30" s="7" t="s">
        <v>108</v>
      </c>
      <c r="B30" s="34" t="s">
        <v>81</v>
      </c>
      <c r="C30" s="9">
        <v>44562</v>
      </c>
      <c r="D30" s="9">
        <v>44592</v>
      </c>
      <c r="E30" s="10" t="s">
        <v>74</v>
      </c>
      <c r="F30" s="33" t="s">
        <v>84</v>
      </c>
      <c r="G30" s="34" t="s">
        <v>63</v>
      </c>
      <c r="H30" s="34" t="s">
        <v>77</v>
      </c>
      <c r="I30" s="34" t="s">
        <v>249</v>
      </c>
      <c r="J30" s="34" t="s">
        <v>246</v>
      </c>
      <c r="K30" s="35">
        <v>3000000</v>
      </c>
      <c r="L30" s="16">
        <v>0.7</v>
      </c>
      <c r="M30" s="16">
        <f t="shared" si="0"/>
        <v>0.57515866666666671</v>
      </c>
      <c r="N30" s="17">
        <f t="shared" si="20"/>
        <v>0.82165523809523822</v>
      </c>
      <c r="O30" s="18">
        <v>2100000</v>
      </c>
      <c r="P30" s="18">
        <v>1725476</v>
      </c>
      <c r="Q30" s="17">
        <f t="shared" si="21"/>
        <v>0.82165523809523811</v>
      </c>
      <c r="R30" s="12">
        <v>6</v>
      </c>
      <c r="S30" s="19">
        <f t="shared" si="22"/>
        <v>6.2354550280618222</v>
      </c>
      <c r="T30" s="17">
        <f t="shared" si="23"/>
        <v>1.0392425046769704</v>
      </c>
      <c r="U30" s="18">
        <v>12600000</v>
      </c>
      <c r="V30" s="18">
        <v>10759128</v>
      </c>
      <c r="W30" s="17">
        <f t="shared" si="24"/>
        <v>0.85389904761904767</v>
      </c>
      <c r="X30" s="18">
        <v>31500</v>
      </c>
      <c r="Y30" s="18">
        <v>37446</v>
      </c>
      <c r="Z30" s="17">
        <f t="shared" si="25"/>
        <v>1.1887619047619047</v>
      </c>
      <c r="AA30" s="20">
        <v>2.5000000000000001E-3</v>
      </c>
      <c r="AB30" s="20">
        <f t="shared" si="26"/>
        <v>3.4803935783643434E-3</v>
      </c>
      <c r="AC30" s="17">
        <f t="shared" si="27"/>
        <v>1.3921574313457374</v>
      </c>
      <c r="AD30" s="18">
        <v>6300000</v>
      </c>
      <c r="AE30" s="18">
        <v>334215</v>
      </c>
      <c r="AF30" s="17">
        <f t="shared" si="28"/>
        <v>5.305E-2</v>
      </c>
      <c r="AG30" s="16">
        <v>0.5</v>
      </c>
      <c r="AH30" s="16">
        <f t="shared" si="29"/>
        <v>3.1063391010870026E-2</v>
      </c>
      <c r="AI30" s="17">
        <f t="shared" si="30"/>
        <v>6.2126782021740053E-2</v>
      </c>
      <c r="AJ30" s="21" t="s">
        <v>56</v>
      </c>
      <c r="AK30" s="22">
        <v>38.5</v>
      </c>
      <c r="AL30" s="22">
        <f t="shared" si="31"/>
        <v>45.073028223105069</v>
      </c>
      <c r="AM30" s="17">
        <f t="shared" si="32"/>
        <v>1.170728005794937</v>
      </c>
      <c r="AN30" s="18">
        <v>485100</v>
      </c>
      <c r="AO30" s="18">
        <v>484946.48</v>
      </c>
      <c r="AP30" s="17">
        <f t="shared" si="33"/>
        <v>0.99968352916924341</v>
      </c>
      <c r="AQ30" s="34" t="s">
        <v>70</v>
      </c>
      <c r="AR30" s="34" t="s">
        <v>70</v>
      </c>
      <c r="AS30" s="34" t="s">
        <v>70</v>
      </c>
      <c r="AT30" s="34" t="s">
        <v>70</v>
      </c>
      <c r="AU30" s="34" t="s">
        <v>70</v>
      </c>
      <c r="AV30" s="34" t="s">
        <v>70</v>
      </c>
      <c r="AW30" s="18">
        <v>485100</v>
      </c>
      <c r="AX30" s="18">
        <f>AO30</f>
        <v>484946.48</v>
      </c>
      <c r="AY30" s="17">
        <f t="shared" si="35"/>
        <v>0.99968352916924341</v>
      </c>
      <c r="XEZ30" s="39" t="s">
        <v>114</v>
      </c>
      <c r="XFC30" s="38" t="s">
        <v>227</v>
      </c>
    </row>
    <row r="31" spans="1:51 16380:16383" ht="15" customHeight="1" x14ac:dyDescent="0.3">
      <c r="A31" s="7" t="s">
        <v>108</v>
      </c>
      <c r="B31" s="34" t="s">
        <v>81</v>
      </c>
      <c r="C31" s="9">
        <v>44562</v>
      </c>
      <c r="D31" s="9">
        <v>44592</v>
      </c>
      <c r="E31" s="10" t="s">
        <v>74</v>
      </c>
      <c r="F31" s="33" t="s">
        <v>84</v>
      </c>
      <c r="G31" s="34" t="s">
        <v>64</v>
      </c>
      <c r="H31" s="34" t="s">
        <v>77</v>
      </c>
      <c r="I31" s="34" t="s">
        <v>249</v>
      </c>
      <c r="J31" s="34" t="s">
        <v>246</v>
      </c>
      <c r="K31" s="35">
        <v>4700000</v>
      </c>
      <c r="L31" s="16">
        <v>0.7</v>
      </c>
      <c r="M31" s="16">
        <f t="shared" si="0"/>
        <v>0.53908</v>
      </c>
      <c r="N31" s="17">
        <f t="shared" si="20"/>
        <v>0.77011428571428575</v>
      </c>
      <c r="O31" s="18">
        <v>3290000</v>
      </c>
      <c r="P31" s="18">
        <v>2533676</v>
      </c>
      <c r="Q31" s="17">
        <f t="shared" si="21"/>
        <v>0.77011428571428575</v>
      </c>
      <c r="R31" s="12">
        <v>6</v>
      </c>
      <c r="S31" s="19">
        <f t="shared" si="22"/>
        <v>6.0801258724477796</v>
      </c>
      <c r="T31" s="17">
        <f t="shared" si="23"/>
        <v>1.01335431207463</v>
      </c>
      <c r="U31" s="18">
        <v>19740000</v>
      </c>
      <c r="V31" s="18">
        <v>15405069</v>
      </c>
      <c r="W31" s="17">
        <f t="shared" si="24"/>
        <v>0.78039863221884498</v>
      </c>
      <c r="X31" s="18">
        <v>49350</v>
      </c>
      <c r="Y31" s="18">
        <v>43929</v>
      </c>
      <c r="Z31" s="17">
        <f t="shared" si="25"/>
        <v>0.8901519756838906</v>
      </c>
      <c r="AA31" s="20">
        <v>2.5000000000000001E-3</v>
      </c>
      <c r="AB31" s="20">
        <f t="shared" si="26"/>
        <v>2.8515938487519918E-3</v>
      </c>
      <c r="AC31" s="17">
        <f t="shared" si="27"/>
        <v>1.1406375395007966</v>
      </c>
      <c r="AD31" s="18">
        <v>9870000</v>
      </c>
      <c r="AE31" s="18">
        <v>475895</v>
      </c>
      <c r="AF31" s="17">
        <f t="shared" si="28"/>
        <v>4.8216312056737591E-2</v>
      </c>
      <c r="AG31" s="16">
        <v>0.5</v>
      </c>
      <c r="AH31" s="16">
        <f t="shared" si="29"/>
        <v>3.0892104410567715E-2</v>
      </c>
      <c r="AI31" s="17">
        <f t="shared" si="30"/>
        <v>6.1784208821135431E-2</v>
      </c>
      <c r="AJ31" s="21" t="s">
        <v>56</v>
      </c>
      <c r="AK31" s="22">
        <v>30.800000000000004</v>
      </c>
      <c r="AL31" s="22">
        <f t="shared" si="31"/>
        <v>39.455523373507773</v>
      </c>
      <c r="AM31" s="17">
        <f t="shared" si="32"/>
        <v>1.2810234861528496</v>
      </c>
      <c r="AN31" s="18">
        <v>607992.00000000012</v>
      </c>
      <c r="AO31" s="18">
        <v>607815.06000000006</v>
      </c>
      <c r="AP31" s="17">
        <f t="shared" si="33"/>
        <v>0.99970897643390033</v>
      </c>
      <c r="AQ31" s="34" t="s">
        <v>70</v>
      </c>
      <c r="AR31" s="34" t="s">
        <v>70</v>
      </c>
      <c r="AS31" s="34" t="s">
        <v>70</v>
      </c>
      <c r="AT31" s="34" t="s">
        <v>70</v>
      </c>
      <c r="AU31" s="34" t="s">
        <v>70</v>
      </c>
      <c r="AV31" s="34" t="s">
        <v>70</v>
      </c>
      <c r="AW31" s="18">
        <v>607992.00000000012</v>
      </c>
      <c r="AX31" s="18">
        <f t="shared" ref="AX31:AX34" si="37">AO31</f>
        <v>607815.06000000006</v>
      </c>
      <c r="AY31" s="17">
        <f t="shared" si="35"/>
        <v>0.99970897643390033</v>
      </c>
      <c r="XEZ31" s="39" t="s">
        <v>115</v>
      </c>
      <c r="XFC31" s="38" t="s">
        <v>228</v>
      </c>
    </row>
    <row r="32" spans="1:51 16380:16383" ht="15" customHeight="1" x14ac:dyDescent="0.3">
      <c r="A32" s="7" t="s">
        <v>108</v>
      </c>
      <c r="B32" s="34" t="s">
        <v>81</v>
      </c>
      <c r="C32" s="9">
        <v>44562</v>
      </c>
      <c r="D32" s="9">
        <v>44592</v>
      </c>
      <c r="E32" s="10" t="s">
        <v>74</v>
      </c>
      <c r="F32" s="33" t="s">
        <v>84</v>
      </c>
      <c r="G32" s="34" t="s">
        <v>67</v>
      </c>
      <c r="H32" s="34" t="s">
        <v>77</v>
      </c>
      <c r="I32" s="34" t="s">
        <v>249</v>
      </c>
      <c r="J32" s="34" t="s">
        <v>246</v>
      </c>
      <c r="K32" s="35">
        <v>1100000</v>
      </c>
      <c r="L32" s="16">
        <v>0.7</v>
      </c>
      <c r="M32" s="16">
        <f t="shared" si="0"/>
        <v>0.55380181818181817</v>
      </c>
      <c r="N32" s="17">
        <f t="shared" si="20"/>
        <v>0.7911454545454546</v>
      </c>
      <c r="O32" s="18">
        <v>770000</v>
      </c>
      <c r="P32" s="18">
        <v>609182</v>
      </c>
      <c r="Q32" s="17">
        <f t="shared" si="21"/>
        <v>0.7911454545454546</v>
      </c>
      <c r="R32" s="12">
        <v>6</v>
      </c>
      <c r="S32" s="19">
        <f t="shared" si="22"/>
        <v>5.9161301548634073</v>
      </c>
      <c r="T32" s="17">
        <f t="shared" si="23"/>
        <v>0.98602169247723459</v>
      </c>
      <c r="U32" s="18">
        <v>4620000</v>
      </c>
      <c r="V32" s="18">
        <v>3604000</v>
      </c>
      <c r="W32" s="17">
        <f t="shared" si="24"/>
        <v>0.78008658008658005</v>
      </c>
      <c r="X32" s="18">
        <v>11550</v>
      </c>
      <c r="Y32" s="18">
        <v>13400</v>
      </c>
      <c r="Z32" s="17">
        <f t="shared" si="25"/>
        <v>1.1601731601731602</v>
      </c>
      <c r="AA32" s="20">
        <v>2.5000000000000001E-3</v>
      </c>
      <c r="AB32" s="20">
        <f t="shared" si="26"/>
        <v>3.7180910099889014E-3</v>
      </c>
      <c r="AC32" s="17">
        <f t="shared" si="27"/>
        <v>1.4872364039955606</v>
      </c>
      <c r="AD32" s="18">
        <v>2310000</v>
      </c>
      <c r="AE32" s="18">
        <v>117765</v>
      </c>
      <c r="AF32" s="17">
        <f t="shared" si="28"/>
        <v>5.098051948051948E-2</v>
      </c>
      <c r="AG32" s="16">
        <v>0.5</v>
      </c>
      <c r="AH32" s="16">
        <f t="shared" si="29"/>
        <v>3.2676193118756934E-2</v>
      </c>
      <c r="AI32" s="17">
        <f t="shared" si="30"/>
        <v>6.5352386237513868E-2</v>
      </c>
      <c r="AJ32" s="21" t="s">
        <v>56</v>
      </c>
      <c r="AK32" s="22">
        <v>31.900000000000002</v>
      </c>
      <c r="AL32" s="22">
        <f t="shared" si="31"/>
        <v>40.884311875693669</v>
      </c>
      <c r="AM32" s="17">
        <f t="shared" si="32"/>
        <v>1.2816398707114003</v>
      </c>
      <c r="AN32" s="18">
        <v>147378</v>
      </c>
      <c r="AO32" s="18">
        <v>147347.06</v>
      </c>
      <c r="AP32" s="17">
        <f t="shared" si="33"/>
        <v>0.99979006364586298</v>
      </c>
      <c r="AQ32" s="34" t="s">
        <v>70</v>
      </c>
      <c r="AR32" s="34" t="s">
        <v>70</v>
      </c>
      <c r="AS32" s="34" t="s">
        <v>70</v>
      </c>
      <c r="AT32" s="34" t="s">
        <v>70</v>
      </c>
      <c r="AU32" s="34" t="s">
        <v>70</v>
      </c>
      <c r="AV32" s="34" t="s">
        <v>70</v>
      </c>
      <c r="AW32" s="18">
        <v>147378</v>
      </c>
      <c r="AX32" s="18">
        <f t="shared" si="37"/>
        <v>147347.06</v>
      </c>
      <c r="AY32" s="17">
        <f t="shared" si="35"/>
        <v>0.99979006364586298</v>
      </c>
      <c r="XEZ32" s="39" t="s">
        <v>116</v>
      </c>
      <c r="XFC32" s="38" t="s">
        <v>229</v>
      </c>
    </row>
    <row r="33" spans="1:51 16380:16383" ht="15" customHeight="1" x14ac:dyDescent="0.3">
      <c r="A33" s="7" t="s">
        <v>108</v>
      </c>
      <c r="B33" s="34" t="s">
        <v>81</v>
      </c>
      <c r="C33" s="9">
        <v>44562</v>
      </c>
      <c r="D33" s="9">
        <v>44592</v>
      </c>
      <c r="E33" s="10" t="s">
        <v>74</v>
      </c>
      <c r="F33" s="33" t="s">
        <v>84</v>
      </c>
      <c r="G33" s="34" t="s">
        <v>66</v>
      </c>
      <c r="H33" s="34" t="s">
        <v>77</v>
      </c>
      <c r="I33" s="34" t="s">
        <v>249</v>
      </c>
      <c r="J33" s="34" t="s">
        <v>246</v>
      </c>
      <c r="K33" s="35">
        <v>2100000</v>
      </c>
      <c r="L33" s="16">
        <v>0.7</v>
      </c>
      <c r="M33" s="16">
        <f t="shared" si="0"/>
        <v>0.42495095238095237</v>
      </c>
      <c r="N33" s="17">
        <f t="shared" si="20"/>
        <v>0.60707278911564633</v>
      </c>
      <c r="O33" s="18">
        <v>1470000</v>
      </c>
      <c r="P33" s="18">
        <v>892397</v>
      </c>
      <c r="Q33" s="17">
        <f t="shared" si="21"/>
        <v>0.60707278911564622</v>
      </c>
      <c r="R33" s="12">
        <v>6</v>
      </c>
      <c r="S33" s="19">
        <f t="shared" si="22"/>
        <v>6.4011779510688624</v>
      </c>
      <c r="T33" s="17">
        <f t="shared" si="23"/>
        <v>1.0668629918448105</v>
      </c>
      <c r="U33" s="18">
        <v>8820000</v>
      </c>
      <c r="V33" s="18">
        <v>5712392</v>
      </c>
      <c r="W33" s="17">
        <f t="shared" si="24"/>
        <v>0.64766349206349205</v>
      </c>
      <c r="X33" s="18">
        <v>22050</v>
      </c>
      <c r="Y33" s="18">
        <v>18728</v>
      </c>
      <c r="Z33" s="17">
        <f t="shared" si="25"/>
        <v>0.84934240362811786</v>
      </c>
      <c r="AA33" s="20">
        <v>2.5000000000000001E-3</v>
      </c>
      <c r="AB33" s="20">
        <f t="shared" si="26"/>
        <v>3.278486490422926E-3</v>
      </c>
      <c r="AC33" s="17">
        <f t="shared" si="27"/>
        <v>1.3113945961691704</v>
      </c>
      <c r="AD33" s="18">
        <v>4410000</v>
      </c>
      <c r="AE33" s="18">
        <v>158979</v>
      </c>
      <c r="AF33" s="17">
        <f t="shared" si="28"/>
        <v>3.604965986394558E-2</v>
      </c>
      <c r="AG33" s="16">
        <v>0.5</v>
      </c>
      <c r="AH33" s="16">
        <f t="shared" si="29"/>
        <v>2.7830548043621655E-2</v>
      </c>
      <c r="AI33" s="17">
        <f t="shared" si="30"/>
        <v>5.566109608724331E-2</v>
      </c>
      <c r="AJ33" s="21" t="s">
        <v>56</v>
      </c>
      <c r="AK33" s="22">
        <v>40.700000000000003</v>
      </c>
      <c r="AL33" s="22">
        <f t="shared" si="31"/>
        <v>62.769170953253905</v>
      </c>
      <c r="AM33" s="17">
        <f t="shared" si="32"/>
        <v>1.5422400725615208</v>
      </c>
      <c r="AN33" s="18">
        <v>358974</v>
      </c>
      <c r="AO33" s="18">
        <v>358562.11</v>
      </c>
      <c r="AP33" s="17">
        <f t="shared" si="33"/>
        <v>0.9988525909954481</v>
      </c>
      <c r="AQ33" s="34" t="s">
        <v>70</v>
      </c>
      <c r="AR33" s="34" t="s">
        <v>70</v>
      </c>
      <c r="AS33" s="34" t="s">
        <v>70</v>
      </c>
      <c r="AT33" s="34" t="s">
        <v>70</v>
      </c>
      <c r="AU33" s="34" t="s">
        <v>70</v>
      </c>
      <c r="AV33" s="34" t="s">
        <v>70</v>
      </c>
      <c r="AW33" s="18">
        <v>358974</v>
      </c>
      <c r="AX33" s="18">
        <f t="shared" si="37"/>
        <v>358562.11</v>
      </c>
      <c r="AY33" s="17">
        <f t="shared" si="35"/>
        <v>0.9988525909954481</v>
      </c>
      <c r="XEZ33" s="39" t="s">
        <v>117</v>
      </c>
      <c r="XFC33" s="38" t="s">
        <v>230</v>
      </c>
    </row>
    <row r="34" spans="1:51 16380:16383" ht="15" customHeight="1" x14ac:dyDescent="0.3">
      <c r="A34" s="7" t="s">
        <v>108</v>
      </c>
      <c r="B34" s="34" t="s">
        <v>81</v>
      </c>
      <c r="C34" s="9">
        <v>44562</v>
      </c>
      <c r="D34" s="9">
        <v>44592</v>
      </c>
      <c r="E34" s="10" t="s">
        <v>74</v>
      </c>
      <c r="F34" s="33" t="s">
        <v>84</v>
      </c>
      <c r="G34" s="34" t="s">
        <v>65</v>
      </c>
      <c r="H34" s="34" t="s">
        <v>77</v>
      </c>
      <c r="I34" s="34" t="s">
        <v>249</v>
      </c>
      <c r="J34" s="34" t="s">
        <v>246</v>
      </c>
      <c r="K34" s="35">
        <v>1100000</v>
      </c>
      <c r="L34" s="16">
        <v>0.7</v>
      </c>
      <c r="M34" s="16">
        <f t="shared" si="0"/>
        <v>0.59733727272727277</v>
      </c>
      <c r="N34" s="17">
        <f t="shared" si="20"/>
        <v>0.85333896103896112</v>
      </c>
      <c r="O34" s="18">
        <v>770000</v>
      </c>
      <c r="P34" s="18">
        <v>657071</v>
      </c>
      <c r="Q34" s="17">
        <f t="shared" si="21"/>
        <v>0.85333896103896101</v>
      </c>
      <c r="R34" s="12">
        <v>6</v>
      </c>
      <c r="S34" s="19">
        <f t="shared" si="22"/>
        <v>6.6861922075392153</v>
      </c>
      <c r="T34" s="17">
        <f t="shared" si="23"/>
        <v>1.1143653679232026</v>
      </c>
      <c r="U34" s="18">
        <v>4620000</v>
      </c>
      <c r="V34" s="18">
        <v>4393303</v>
      </c>
      <c r="W34" s="17">
        <f t="shared" si="24"/>
        <v>0.95093138528138532</v>
      </c>
      <c r="X34" s="18">
        <v>11550</v>
      </c>
      <c r="Y34" s="18">
        <v>15803</v>
      </c>
      <c r="Z34" s="17">
        <f t="shared" si="25"/>
        <v>1.3682251082251082</v>
      </c>
      <c r="AA34" s="20">
        <v>2.5000000000000001E-3</v>
      </c>
      <c r="AB34" s="20">
        <f t="shared" si="26"/>
        <v>3.5970658067517765E-3</v>
      </c>
      <c r="AC34" s="17">
        <f t="shared" si="27"/>
        <v>1.4388263227007105</v>
      </c>
      <c r="AD34" s="18">
        <v>2310000</v>
      </c>
      <c r="AE34" s="18">
        <v>141892</v>
      </c>
      <c r="AF34" s="17">
        <f t="shared" si="28"/>
        <v>6.1425108225108223E-2</v>
      </c>
      <c r="AG34" s="16">
        <v>0.5</v>
      </c>
      <c r="AH34" s="16">
        <f t="shared" si="29"/>
        <v>3.2297339837475354E-2</v>
      </c>
      <c r="AI34" s="17">
        <f t="shared" si="30"/>
        <v>6.4594679674950709E-2</v>
      </c>
      <c r="AJ34" s="21" t="s">
        <v>56</v>
      </c>
      <c r="AK34" s="22">
        <v>27.500000000000004</v>
      </c>
      <c r="AL34" s="22">
        <f t="shared" si="31"/>
        <v>28.896258691922682</v>
      </c>
      <c r="AM34" s="17">
        <f t="shared" si="32"/>
        <v>1.0507730433426428</v>
      </c>
      <c r="AN34" s="18">
        <v>127050.00000000001</v>
      </c>
      <c r="AO34" s="18">
        <v>126950.02</v>
      </c>
      <c r="AP34" s="17">
        <f t="shared" si="33"/>
        <v>0.99921306572215651</v>
      </c>
      <c r="AQ34" s="34" t="s">
        <v>70</v>
      </c>
      <c r="AR34" s="34" t="s">
        <v>70</v>
      </c>
      <c r="AS34" s="34" t="s">
        <v>70</v>
      </c>
      <c r="AT34" s="34" t="s">
        <v>70</v>
      </c>
      <c r="AU34" s="34" t="s">
        <v>70</v>
      </c>
      <c r="AV34" s="34" t="s">
        <v>70</v>
      </c>
      <c r="AW34" s="18">
        <v>127050.00000000001</v>
      </c>
      <c r="AX34" s="18">
        <f t="shared" si="37"/>
        <v>126950.02</v>
      </c>
      <c r="AY34" s="17">
        <f t="shared" si="35"/>
        <v>0.99921306572215651</v>
      </c>
      <c r="XEZ34" s="39" t="s">
        <v>118</v>
      </c>
      <c r="XFC34" s="38" t="s">
        <v>231</v>
      </c>
    </row>
    <row r="35" spans="1:51 16380:16383" ht="15" customHeight="1" x14ac:dyDescent="0.3">
      <c r="XEZ35" s="39" t="s">
        <v>119</v>
      </c>
    </row>
    <row r="36" spans="1:51 16380:16383" ht="15" customHeight="1" x14ac:dyDescent="0.3">
      <c r="XEZ36" s="39" t="s">
        <v>120</v>
      </c>
    </row>
    <row r="37" spans="1:51 16380:16383" ht="15" customHeight="1" x14ac:dyDescent="0.3">
      <c r="XEZ37" s="39" t="s">
        <v>121</v>
      </c>
    </row>
    <row r="38" spans="1:51 16380:16383" ht="15" customHeight="1" x14ac:dyDescent="0.3">
      <c r="XEZ38" s="39" t="s">
        <v>122</v>
      </c>
    </row>
    <row r="39" spans="1:51 16380:16383" ht="15" customHeight="1" x14ac:dyDescent="0.3">
      <c r="XEZ39" s="39" t="s">
        <v>123</v>
      </c>
    </row>
    <row r="40" spans="1:51 16380:16383" ht="15" customHeight="1" x14ac:dyDescent="0.3">
      <c r="XEZ40" s="39" t="s">
        <v>124</v>
      </c>
    </row>
    <row r="41" spans="1:51 16380:16383" ht="15" customHeight="1" x14ac:dyDescent="0.3">
      <c r="XEZ41" s="39" t="s">
        <v>125</v>
      </c>
    </row>
    <row r="42" spans="1:51 16380:16383" ht="15" customHeight="1" x14ac:dyDescent="0.3">
      <c r="XEZ42" s="39" t="s">
        <v>126</v>
      </c>
    </row>
    <row r="43" spans="1:51 16380:16383" ht="15" customHeight="1" x14ac:dyDescent="0.3">
      <c r="XEZ43" s="39" t="s">
        <v>127</v>
      </c>
    </row>
    <row r="44" spans="1:51 16380:16383" ht="15" customHeight="1" x14ac:dyDescent="0.3">
      <c r="XEZ44" s="39" t="s">
        <v>128</v>
      </c>
    </row>
    <row r="45" spans="1:51 16380:16383" ht="15" customHeight="1" x14ac:dyDescent="0.3">
      <c r="XEZ45" s="39" t="s">
        <v>129</v>
      </c>
    </row>
    <row r="46" spans="1:51 16380:16383" ht="15" customHeight="1" x14ac:dyDescent="0.3">
      <c r="XEZ46" s="39" t="s">
        <v>130</v>
      </c>
    </row>
    <row r="47" spans="1:51 16380:16383" ht="15" customHeight="1" x14ac:dyDescent="0.3">
      <c r="XEZ47" s="39" t="s">
        <v>131</v>
      </c>
    </row>
    <row r="48" spans="1:51 16380:16383" ht="15" customHeight="1" x14ac:dyDescent="0.3">
      <c r="XEZ48" s="39" t="s">
        <v>132</v>
      </c>
    </row>
    <row r="49" spans="16380:16380" ht="15" customHeight="1" x14ac:dyDescent="0.3">
      <c r="XEZ49" s="39" t="s">
        <v>133</v>
      </c>
    </row>
    <row r="50" spans="16380:16380" ht="15" customHeight="1" x14ac:dyDescent="0.3">
      <c r="XEZ50" s="39" t="s">
        <v>134</v>
      </c>
    </row>
    <row r="51" spans="16380:16380" ht="15" customHeight="1" x14ac:dyDescent="0.3">
      <c r="XEZ51" s="39" t="s">
        <v>135</v>
      </c>
    </row>
    <row r="52" spans="16380:16380" ht="15" customHeight="1" x14ac:dyDescent="0.3">
      <c r="XEZ52" s="39" t="s">
        <v>136</v>
      </c>
    </row>
    <row r="53" spans="16380:16380" ht="15" customHeight="1" x14ac:dyDescent="0.3">
      <c r="XEZ53" s="39" t="s">
        <v>137</v>
      </c>
    </row>
    <row r="54" spans="16380:16380" ht="15" customHeight="1" x14ac:dyDescent="0.3">
      <c r="XEZ54" s="39" t="s">
        <v>138</v>
      </c>
    </row>
    <row r="55" spans="16380:16380" ht="15" customHeight="1" x14ac:dyDescent="0.3">
      <c r="XEZ55" s="39" t="s">
        <v>139</v>
      </c>
    </row>
    <row r="56" spans="16380:16380" ht="15" customHeight="1" x14ac:dyDescent="0.3">
      <c r="XEZ56" s="39" t="s">
        <v>140</v>
      </c>
    </row>
    <row r="57" spans="16380:16380" ht="15" customHeight="1" x14ac:dyDescent="0.3">
      <c r="XEZ57" s="39" t="s">
        <v>141</v>
      </c>
    </row>
    <row r="58" spans="16380:16380" ht="15" customHeight="1" x14ac:dyDescent="0.3">
      <c r="XEZ58" s="39" t="s">
        <v>142</v>
      </c>
    </row>
    <row r="59" spans="16380:16380" ht="15" customHeight="1" x14ac:dyDescent="0.3">
      <c r="XEZ59" s="39" t="s">
        <v>143</v>
      </c>
    </row>
    <row r="60" spans="16380:16380" ht="15" customHeight="1" x14ac:dyDescent="0.3">
      <c r="XEZ60" s="39" t="s">
        <v>144</v>
      </c>
    </row>
    <row r="61" spans="16380:16380" ht="15" customHeight="1" x14ac:dyDescent="0.3">
      <c r="XEZ61" s="39" t="s">
        <v>145</v>
      </c>
    </row>
    <row r="62" spans="16380:16380" ht="15" customHeight="1" x14ac:dyDescent="0.3">
      <c r="XEZ62" s="39" t="s">
        <v>146</v>
      </c>
    </row>
    <row r="63" spans="16380:16380" ht="15" customHeight="1" x14ac:dyDescent="0.3">
      <c r="XEZ63" s="39" t="s">
        <v>147</v>
      </c>
    </row>
    <row r="64" spans="16380:16380" ht="15" customHeight="1" x14ac:dyDescent="0.3">
      <c r="XEZ64" s="39" t="s">
        <v>148</v>
      </c>
    </row>
    <row r="65" spans="16380:16380" ht="15" customHeight="1" x14ac:dyDescent="0.3">
      <c r="XEZ65" s="39" t="s">
        <v>149</v>
      </c>
    </row>
    <row r="66" spans="16380:16380" ht="15" customHeight="1" x14ac:dyDescent="0.3">
      <c r="XEZ66" s="39" t="s">
        <v>150</v>
      </c>
    </row>
    <row r="67" spans="16380:16380" ht="15" customHeight="1" x14ac:dyDescent="0.3">
      <c r="XEZ67" s="39" t="s">
        <v>151</v>
      </c>
    </row>
    <row r="68" spans="16380:16380" ht="15" customHeight="1" x14ac:dyDescent="0.3">
      <c r="XEZ68" s="39" t="s">
        <v>152</v>
      </c>
    </row>
    <row r="69" spans="16380:16380" ht="15" customHeight="1" x14ac:dyDescent="0.3">
      <c r="XEZ69" s="39" t="s">
        <v>153</v>
      </c>
    </row>
    <row r="70" spans="16380:16380" ht="15" customHeight="1" x14ac:dyDescent="0.3">
      <c r="XEZ70" s="39" t="s">
        <v>154</v>
      </c>
    </row>
    <row r="71" spans="16380:16380" ht="15" customHeight="1" x14ac:dyDescent="0.3">
      <c r="XEZ71" s="39" t="s">
        <v>155</v>
      </c>
    </row>
    <row r="72" spans="16380:16380" ht="15" customHeight="1" x14ac:dyDescent="0.3">
      <c r="XEZ72" s="39" t="s">
        <v>156</v>
      </c>
    </row>
    <row r="73" spans="16380:16380" ht="15" customHeight="1" x14ac:dyDescent="0.3">
      <c r="XEZ73" s="39" t="s">
        <v>157</v>
      </c>
    </row>
    <row r="74" spans="16380:16380" ht="15" customHeight="1" x14ac:dyDescent="0.3">
      <c r="XEZ74" s="39" t="s">
        <v>158</v>
      </c>
    </row>
    <row r="75" spans="16380:16380" ht="15" customHeight="1" x14ac:dyDescent="0.3">
      <c r="XEZ75" s="39" t="s">
        <v>159</v>
      </c>
    </row>
    <row r="76" spans="16380:16380" ht="15" customHeight="1" x14ac:dyDescent="0.3">
      <c r="XEZ76" s="39" t="s">
        <v>160</v>
      </c>
    </row>
    <row r="77" spans="16380:16380" ht="15" customHeight="1" x14ac:dyDescent="0.3">
      <c r="XEZ77" s="39" t="s">
        <v>161</v>
      </c>
    </row>
    <row r="78" spans="16380:16380" ht="15" customHeight="1" x14ac:dyDescent="0.3">
      <c r="XEZ78" s="39" t="s">
        <v>162</v>
      </c>
    </row>
    <row r="79" spans="16380:16380" ht="15" customHeight="1" x14ac:dyDescent="0.3">
      <c r="XEZ79" s="39" t="s">
        <v>163</v>
      </c>
    </row>
    <row r="80" spans="16380:16380" ht="15" customHeight="1" x14ac:dyDescent="0.3">
      <c r="XEZ80" s="39" t="s">
        <v>164</v>
      </c>
    </row>
    <row r="81" spans="16380:16380" ht="15" customHeight="1" x14ac:dyDescent="0.3">
      <c r="XEZ81" s="39" t="s">
        <v>165</v>
      </c>
    </row>
    <row r="82" spans="16380:16380" ht="15" customHeight="1" x14ac:dyDescent="0.3">
      <c r="XEZ82" s="39" t="s">
        <v>166</v>
      </c>
    </row>
    <row r="83" spans="16380:16380" ht="15" customHeight="1" x14ac:dyDescent="0.3">
      <c r="XEZ83" s="39" t="s">
        <v>167</v>
      </c>
    </row>
    <row r="84" spans="16380:16380" ht="15" customHeight="1" x14ac:dyDescent="0.3">
      <c r="XEZ84" s="39" t="s">
        <v>168</v>
      </c>
    </row>
    <row r="85" spans="16380:16380" ht="15" customHeight="1" x14ac:dyDescent="0.3">
      <c r="XEZ85" s="39" t="s">
        <v>169</v>
      </c>
    </row>
    <row r="86" spans="16380:16380" ht="15" customHeight="1" x14ac:dyDescent="0.3">
      <c r="XEZ86" s="39" t="s">
        <v>170</v>
      </c>
    </row>
    <row r="87" spans="16380:16380" ht="15" customHeight="1" x14ac:dyDescent="0.3">
      <c r="XEZ87" s="39" t="s">
        <v>171</v>
      </c>
    </row>
    <row r="88" spans="16380:16380" ht="15" customHeight="1" x14ac:dyDescent="0.3">
      <c r="XEZ88" s="39" t="s">
        <v>172</v>
      </c>
    </row>
    <row r="89" spans="16380:16380" ht="15" customHeight="1" x14ac:dyDescent="0.3">
      <c r="XEZ89" s="39" t="s">
        <v>173</v>
      </c>
    </row>
    <row r="90" spans="16380:16380" ht="15" customHeight="1" x14ac:dyDescent="0.3">
      <c r="XEZ90" s="39" t="s">
        <v>174</v>
      </c>
    </row>
    <row r="91" spans="16380:16380" ht="15" customHeight="1" x14ac:dyDescent="0.3">
      <c r="XEZ91" s="39" t="s">
        <v>175</v>
      </c>
    </row>
    <row r="92" spans="16380:16380" ht="15" customHeight="1" x14ac:dyDescent="0.3">
      <c r="XEZ92" s="39" t="s">
        <v>176</v>
      </c>
    </row>
    <row r="93" spans="16380:16380" ht="15" customHeight="1" x14ac:dyDescent="0.3">
      <c r="XEZ93" s="39" t="s">
        <v>177</v>
      </c>
    </row>
    <row r="94" spans="16380:16380" ht="15" customHeight="1" x14ac:dyDescent="0.3">
      <c r="XEZ94" s="39" t="s">
        <v>178</v>
      </c>
    </row>
    <row r="95" spans="16380:16380" ht="15" customHeight="1" x14ac:dyDescent="0.3">
      <c r="XEZ95" s="39" t="s">
        <v>179</v>
      </c>
    </row>
    <row r="96" spans="16380:16380" ht="15" customHeight="1" x14ac:dyDescent="0.3">
      <c r="XEZ96" s="39" t="s">
        <v>180</v>
      </c>
    </row>
    <row r="97" spans="16380:16380" ht="15" customHeight="1" x14ac:dyDescent="0.3">
      <c r="XEZ97" s="39" t="s">
        <v>181</v>
      </c>
    </row>
    <row r="98" spans="16380:16380" ht="15" customHeight="1" x14ac:dyDescent="0.3">
      <c r="XEZ98" s="39" t="s">
        <v>182</v>
      </c>
    </row>
    <row r="99" spans="16380:16380" ht="15" customHeight="1" x14ac:dyDescent="0.3">
      <c r="XEZ99" s="39" t="s">
        <v>183</v>
      </c>
    </row>
    <row r="100" spans="16380:16380" ht="15" customHeight="1" x14ac:dyDescent="0.3">
      <c r="XEZ100" s="39" t="s">
        <v>184</v>
      </c>
    </row>
    <row r="101" spans="16380:16380" ht="15" customHeight="1" x14ac:dyDescent="0.3">
      <c r="XEZ101" s="39" t="s">
        <v>185</v>
      </c>
    </row>
    <row r="102" spans="16380:16380" ht="15" customHeight="1" x14ac:dyDescent="0.3">
      <c r="XEZ102" s="39" t="s">
        <v>186</v>
      </c>
    </row>
    <row r="103" spans="16380:16380" ht="15" customHeight="1" x14ac:dyDescent="0.3">
      <c r="XEZ103" s="39" t="s">
        <v>187</v>
      </c>
    </row>
    <row r="104" spans="16380:16380" ht="15" customHeight="1" x14ac:dyDescent="0.3">
      <c r="XEZ104" s="39" t="s">
        <v>188</v>
      </c>
    </row>
    <row r="105" spans="16380:16380" ht="15" customHeight="1" x14ac:dyDescent="0.3">
      <c r="XEZ105" s="39" t="s">
        <v>189</v>
      </c>
    </row>
    <row r="106" spans="16380:16380" ht="15" customHeight="1" x14ac:dyDescent="0.3">
      <c r="XEZ106" s="39" t="s">
        <v>190</v>
      </c>
    </row>
    <row r="107" spans="16380:16380" ht="15" customHeight="1" x14ac:dyDescent="0.3">
      <c r="XEZ107" s="39" t="s">
        <v>191</v>
      </c>
    </row>
    <row r="108" spans="16380:16380" ht="15" customHeight="1" x14ac:dyDescent="0.3">
      <c r="XEZ108" s="39" t="s">
        <v>192</v>
      </c>
    </row>
    <row r="109" spans="16380:16380" ht="15" customHeight="1" x14ac:dyDescent="0.3">
      <c r="XEZ109" s="39" t="s">
        <v>193</v>
      </c>
    </row>
    <row r="110" spans="16380:16380" ht="15" customHeight="1" x14ac:dyDescent="0.3">
      <c r="XEZ110" s="39" t="s">
        <v>194</v>
      </c>
    </row>
    <row r="111" spans="16380:16380" ht="15" customHeight="1" x14ac:dyDescent="0.3">
      <c r="XEZ111" s="39" t="s">
        <v>195</v>
      </c>
    </row>
  </sheetData>
  <phoneticPr fontId="7" type="noConversion"/>
  <dataValidations count="4">
    <dataValidation type="list" allowBlank="1" showInputMessage="1" showErrorMessage="1" sqref="A2:A34" xr:uid="{E1ADDF1A-5F0A-4BFC-955D-29E514CF9ACC}">
      <formula1>$XEZ$1:$XEZ$111</formula1>
    </dataValidation>
    <dataValidation type="list" allowBlank="1" showInputMessage="1" showErrorMessage="1" sqref="E2:E34" xr:uid="{EA36DD7C-FD33-4A00-9628-595F83520AED}">
      <formula1>$XFA$2:$XFA$4</formula1>
    </dataValidation>
    <dataValidation type="list" allowBlank="1" showInputMessage="1" showErrorMessage="1" sqref="I2:I34" xr:uid="{08353849-BF17-4A05-87AB-C5F412CD61B0}">
      <formula1>$XFB$2:$XFB$12</formula1>
    </dataValidation>
    <dataValidation type="list" allowBlank="1" showInputMessage="1" showErrorMessage="1" sqref="J2:J34" xr:uid="{26816E22-982E-466E-B1BD-53BCBB9DAB5C}">
      <formula1>$XFC$2:$XFC$34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Planning_Template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 Mitra</dc:creator>
  <cp:lastModifiedBy>VARUN MITRA</cp:lastModifiedBy>
  <dcterms:created xsi:type="dcterms:W3CDTF">2022-04-21T11:13:53Z</dcterms:created>
  <dcterms:modified xsi:type="dcterms:W3CDTF">2022-04-22T04:51:26Z</dcterms:modified>
</cp:coreProperties>
</file>